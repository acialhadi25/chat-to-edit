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Lookup_Reference" sheetId="2" state="visible" r:id="rId4"/>
    <sheet name="Date_Time" sheetId="3" state="visible" r:id="rId5"/>
    <sheet name="Statistical_Math" sheetId="4" state="visible" r:id="rId6"/>
    <sheet name="Text_Formulas" sheetId="5" state="visible" r:id="rId7"/>
    <sheet name="Financial_Formulas" sheetId="6" state="visible" r:id="rId8"/>
    <sheet name="Logic_ErrorHandling" sheetId="7" state="visible" r:id="rId9"/>
    <sheet name="Dashboard_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<sst xmlns="http://schemas.openxmlformats.org/spreadsheetml/2006/main" count="476" uniqueCount="287">
  <si>
    <t xml:space="preserve">SALES TRANSACTION DATA</t>
  </si>
  <si>
    <t xml:space="preserve">Trans_ID</t>
  </si>
  <si>
    <t xml:space="preserve">Date</t>
  </si>
  <si>
    <t xml:space="preserve">Region</t>
  </si>
  <si>
    <t xml:space="preserve">Salesperson</t>
  </si>
  <si>
    <t xml:space="preserve">Product</t>
  </si>
  <si>
    <t xml:space="preserve">Category</t>
  </si>
  <si>
    <t xml:space="preserve">Units</t>
  </si>
  <si>
    <t xml:space="preserve">Unit_Price</t>
  </si>
  <si>
    <t xml:space="preserve">Revenue</t>
  </si>
  <si>
    <t xml:space="preserve">COGS</t>
  </si>
  <si>
    <t xml:space="preserve">Gross_Profit</t>
  </si>
  <si>
    <t xml:space="preserve">GP_Margin%</t>
  </si>
  <si>
    <t xml:space="preserve">TXN-001</t>
  </si>
  <si>
    <t xml:space="preserve">2024-01-05</t>
  </si>
  <si>
    <t xml:space="preserve">North</t>
  </si>
  <si>
    <t xml:space="preserve">Alice</t>
  </si>
  <si>
    <t xml:space="preserve">Laptop Pro</t>
  </si>
  <si>
    <t xml:space="preserve">Electronics</t>
  </si>
  <si>
    <t xml:space="preserve">TXN-002</t>
  </si>
  <si>
    <t xml:space="preserve">2024-01-12</t>
  </si>
  <si>
    <t xml:space="preserve">South</t>
  </si>
  <si>
    <t xml:space="preserve">Bob</t>
  </si>
  <si>
    <t xml:space="preserve">Desk Chair</t>
  </si>
  <si>
    <t xml:space="preserve">Furniture</t>
  </si>
  <si>
    <t xml:space="preserve">TXN-003</t>
  </si>
  <si>
    <t xml:space="preserve">2024-01-20</t>
  </si>
  <si>
    <t xml:space="preserve">East</t>
  </si>
  <si>
    <t xml:space="preserve">Carol</t>
  </si>
  <si>
    <t xml:space="preserve">TXN-004</t>
  </si>
  <si>
    <t xml:space="preserve">2024-02-03</t>
  </si>
  <si>
    <t xml:space="preserve">West</t>
  </si>
  <si>
    <t xml:space="preserve">David</t>
  </si>
  <si>
    <t xml:space="preserve">Monitor 4K</t>
  </si>
  <si>
    <t xml:space="preserve">TXN-005</t>
  </si>
  <si>
    <t xml:space="preserve">2024-02-14</t>
  </si>
  <si>
    <t xml:space="preserve">Standing Desk</t>
  </si>
  <si>
    <t xml:space="preserve">TXN-006</t>
  </si>
  <si>
    <t xml:space="preserve">2024-02-28</t>
  </si>
  <si>
    <t xml:space="preserve">Eve</t>
  </si>
  <si>
    <t xml:space="preserve">Keyboard MX</t>
  </si>
  <si>
    <t xml:space="preserve">TXN-007</t>
  </si>
  <si>
    <t xml:space="preserve">2024-03-05</t>
  </si>
  <si>
    <t xml:space="preserve">TXN-008</t>
  </si>
  <si>
    <t xml:space="preserve">2024-03-15</t>
  </si>
  <si>
    <t xml:space="preserve">Office Chair</t>
  </si>
  <si>
    <t xml:space="preserve">TXN-009</t>
  </si>
  <si>
    <t xml:space="preserve">2024-03-22</t>
  </si>
  <si>
    <t xml:space="preserve">TXN-010</t>
  </si>
  <si>
    <t xml:space="preserve">2024-04-01</t>
  </si>
  <si>
    <t xml:space="preserve">TXN-011</t>
  </si>
  <si>
    <t xml:space="preserve">2024-04-10</t>
  </si>
  <si>
    <t xml:space="preserve">TXN-012</t>
  </si>
  <si>
    <t xml:space="preserve">2024-04-25</t>
  </si>
  <si>
    <t xml:space="preserve">Webcam HD</t>
  </si>
  <si>
    <t xml:space="preserve">TXN-013</t>
  </si>
  <si>
    <t xml:space="preserve">2024-05-03</t>
  </si>
  <si>
    <t xml:space="preserve">TXN-014</t>
  </si>
  <si>
    <t xml:space="preserve">2024-05-18</t>
  </si>
  <si>
    <t xml:space="preserve">TXN-015</t>
  </si>
  <si>
    <t xml:space="preserve">2024-05-30</t>
  </si>
  <si>
    <t xml:space="preserve">TXN-016</t>
  </si>
  <si>
    <t xml:space="preserve">2024-06-05</t>
  </si>
  <si>
    <t xml:space="preserve">TXN-017</t>
  </si>
  <si>
    <t xml:space="preserve">2024-06-20</t>
  </si>
  <si>
    <t xml:space="preserve">TXN-018</t>
  </si>
  <si>
    <t xml:space="preserve">2024-07-08</t>
  </si>
  <si>
    <t xml:space="preserve">TXN-019</t>
  </si>
  <si>
    <t xml:space="preserve">2024-07-19</t>
  </si>
  <si>
    <t xml:space="preserve">TXN-020</t>
  </si>
  <si>
    <t xml:space="preserve">2024-07-31</t>
  </si>
  <si>
    <t xml:space="preserve">TXN-021</t>
  </si>
  <si>
    <t xml:space="preserve">2024-08-05</t>
  </si>
  <si>
    <t xml:space="preserve">TXN-022</t>
  </si>
  <si>
    <t xml:space="preserve">2024-08-14</t>
  </si>
  <si>
    <t xml:space="preserve">TXN-023</t>
  </si>
  <si>
    <t xml:space="preserve">2024-09-02</t>
  </si>
  <si>
    <t xml:space="preserve">TXN-024</t>
  </si>
  <si>
    <t xml:space="preserve">2024-09-15</t>
  </si>
  <si>
    <t xml:space="preserve">TXN-025</t>
  </si>
  <si>
    <t xml:space="preserve">2024-09-28</t>
  </si>
  <si>
    <t xml:space="preserve">TXN-026</t>
  </si>
  <si>
    <t xml:space="preserve">2024-10-10</t>
  </si>
  <si>
    <t xml:space="preserve">TXN-027</t>
  </si>
  <si>
    <t xml:space="preserve">2024-10-22</t>
  </si>
  <si>
    <t xml:space="preserve">TXN-028</t>
  </si>
  <si>
    <t xml:space="preserve">2024-11-03</t>
  </si>
  <si>
    <t xml:space="preserve">TXN-029</t>
  </si>
  <si>
    <t xml:space="preserve">2024-11-15</t>
  </si>
  <si>
    <t xml:space="preserve">TXN-030</t>
  </si>
  <si>
    <t xml:space="preserve">2024-12-01</t>
  </si>
  <si>
    <t xml:space="preserve">TXN-031</t>
  </si>
  <si>
    <t xml:space="preserve">2024-12-10</t>
  </si>
  <si>
    <t xml:space="preserve">TXN-032</t>
  </si>
  <si>
    <t xml:space="preserve">2024-12-20</t>
  </si>
  <si>
    <t xml:space="preserve">TOTAL</t>
  </si>
  <si>
    <t xml:space="preserve">LOOKUP &amp; REFERENCE FORMULA SCENARIOS</t>
  </si>
  <si>
    <t xml:space="preserve">A. VLOOKUP / INDEX-MATCH / XLOOKUP</t>
  </si>
  <si>
    <t xml:space="preserve">Category (VLOOKUP)</t>
  </si>
  <si>
    <t xml:space="preserve">Unit_Price (INDEX-MATCH)</t>
  </si>
  <si>
    <t xml:space="preserve">Total Rev (SUMIF)</t>
  </si>
  <si>
    <t xml:space="preserve">B. MULTI-CRITERIA SUMIFS / COUNTIFS</t>
  </si>
  <si>
    <t xml:space="preserve">Total Revenue</t>
  </si>
  <si>
    <t xml:space="preserve">Avg GP%</t>
  </si>
  <si>
    <t xml:space="preserve">Count Transactions</t>
  </si>
  <si>
    <t xml:space="preserve">C. OFFSET &amp; INDIRECT (Dynamic References)</t>
  </si>
  <si>
    <t xml:space="preserve">Row Offset Input:</t>
  </si>
  <si>
    <t xml:space="preserve">Col Offset Input:</t>
  </si>
  <si>
    <t xml:space="preserve">Dynamic Value via OFFSET:</t>
  </si>
  <si>
    <t xml:space="preserve">Dynamic Sheet Reference via INDIRECT:</t>
  </si>
  <si>
    <t xml:space="preserve">Top N Revenue (LARGE):</t>
  </si>
  <si>
    <t xml:space="preserve">Rank of TXN-001 Revenue:</t>
  </si>
  <si>
    <t xml:space="preserve">DATE &amp; TIME FORMULA SCENARIOS</t>
  </si>
  <si>
    <t xml:space="preserve">A. DATE EXTRACTION &amp; CALCULATION</t>
  </si>
  <si>
    <t xml:space="preserve">Year</t>
  </si>
  <si>
    <t xml:space="preserve">Month</t>
  </si>
  <si>
    <t xml:space="preserve">Quarter</t>
  </si>
  <si>
    <t xml:space="preserve">Week#</t>
  </si>
  <si>
    <t xml:space="preserve">B. DATE ARITHMETIC &amp; BUSINESS DAYS</t>
  </si>
  <si>
    <t xml:space="preserve">Start Date</t>
  </si>
  <si>
    <t xml:space="preserve">End Date</t>
  </si>
  <si>
    <t xml:space="preserve">Calendar Days</t>
  </si>
  <si>
    <t xml:space="preserve">DATEDIF Months</t>
  </si>
  <si>
    <t xml:space="preserve">Working Days (NETWORKDAYS)</t>
  </si>
  <si>
    <t xml:space="preserve">Due Date +45 WORKDAYS</t>
  </si>
  <si>
    <t xml:space="preserve">2024-01-01</t>
  </si>
  <si>
    <t xml:space="preserve">2024-03-31</t>
  </si>
  <si>
    <t xml:space="preserve">2024-06-30</t>
  </si>
  <si>
    <t xml:space="preserve">2024-07-01</t>
  </si>
  <si>
    <t xml:space="preserve">2024-09-30</t>
  </si>
  <si>
    <t xml:space="preserve">2024-10-01</t>
  </si>
  <si>
    <t xml:space="preserve">2024-12-31</t>
  </si>
  <si>
    <t xml:space="preserve">C. AGING &amp; DYNAMIC DATE ANALYSIS</t>
  </si>
  <si>
    <t xml:space="preserve">Invoice Date</t>
  </si>
  <si>
    <t xml:space="preserve">Amount</t>
  </si>
  <si>
    <t xml:space="preserve">Days Outstanding</t>
  </si>
  <si>
    <t xml:space="preserve">Aging Bucket</t>
  </si>
  <si>
    <t xml:space="preserve">Status</t>
  </si>
  <si>
    <t xml:space="preserve">2024-10-15</t>
  </si>
  <si>
    <t xml:space="preserve">2024-11-01</t>
  </si>
  <si>
    <t xml:space="preserve">2024-11-20</t>
  </si>
  <si>
    <t xml:space="preserve">2024-12-15</t>
  </si>
  <si>
    <t xml:space="preserve">STATISTICAL &amp; MATHEMATICAL FORMULA SCENARIOS</t>
  </si>
  <si>
    <t xml:space="preserve">A. DESCRIPTIVE STATISTICS ON REVENUE</t>
  </si>
  <si>
    <t xml:space="preserve">Average Revenue</t>
  </si>
  <si>
    <t xml:space="preserve">Median Revenue</t>
  </si>
  <si>
    <t xml:space="preserve">Std Deviation</t>
  </si>
  <si>
    <t xml:space="preserve">Variance</t>
  </si>
  <si>
    <t xml:space="preserve">Min Revenue</t>
  </si>
  <si>
    <t xml:space="preserve">Max Revenue</t>
  </si>
  <si>
    <t xml:space="preserve">25th Percentile</t>
  </si>
  <si>
    <t xml:space="preserve">75th Percentile</t>
  </si>
  <si>
    <t xml:space="preserve">Coefficient of Variation</t>
  </si>
  <si>
    <t xml:space="preserve">Skewness</t>
  </si>
  <si>
    <t xml:space="preserve">Kurtosis</t>
  </si>
  <si>
    <t xml:space="preserve">Count &gt; Avg</t>
  </si>
  <si>
    <t xml:space="preserve">Correl Revenue~Units</t>
  </si>
  <si>
    <t xml:space="preserve">B. CONDITIONAL AGGREGATIONS</t>
  </si>
  <si>
    <t xml:space="preserve">Metric</t>
  </si>
  <si>
    <t xml:space="preserve">Avg Revenue</t>
  </si>
  <si>
    <t xml:space="preserve">Count</t>
  </si>
  <si>
    <t xml:space="preserve">C. ARRAY / MATRIX MATH</t>
  </si>
  <si>
    <t xml:space="preserve">Weighted Avg GP% (by Revenue):</t>
  </si>
  <si>
    <t xml:space="preserve">Product of first 5 unit prices:</t>
  </si>
  <si>
    <t xml:space="preserve">Running Total check (SUMPRODUCT):</t>
  </si>
  <si>
    <t xml:space="preserve">Unique product count (SUMPRODUCT):</t>
  </si>
  <si>
    <t xml:space="preserve">Revenue rank array - Avg Top 5:</t>
  </si>
  <si>
    <t xml:space="preserve">TEXT MANIPULATION FORMULA SCENARIOS</t>
  </si>
  <si>
    <t xml:space="preserve">A. STRING OPERATIONS</t>
  </si>
  <si>
    <t xml:space="preserve">Raw Input</t>
  </si>
  <si>
    <t xml:space="preserve">UPPER</t>
  </si>
  <si>
    <t xml:space="preserve">PROPER</t>
  </si>
  <si>
    <t xml:space="preserve">LEN</t>
  </si>
  <si>
    <t xml:space="preserve">TRIM result</t>
  </si>
  <si>
    <t xml:space="preserve">SUBSTITUTE</t>
  </si>
  <si>
    <t xml:space="preserve">  laptop pro  </t>
  </si>
  <si>
    <t xml:space="preserve">DESK CHAIR deluxe</t>
  </si>
  <si>
    <t xml:space="preserve">keyboard mx wireless</t>
  </si>
  <si>
    <t xml:space="preserve">  Monitor 4K UHD  </t>
  </si>
  <si>
    <t xml:space="preserve">standing desk PRO</t>
  </si>
  <si>
    <t xml:space="preserve">B. EXTRACT / PARSE TEXT</t>
  </si>
  <si>
    <t xml:space="preserve">Full Name</t>
  </si>
  <si>
    <t xml:space="preserve">First Name</t>
  </si>
  <si>
    <t xml:space="preserve">Last Name</t>
  </si>
  <si>
    <t xml:space="preserve">Email Generated</t>
  </si>
  <si>
    <t xml:space="preserve">ID Code</t>
  </si>
  <si>
    <t xml:space="preserve">Numeric Part</t>
  </si>
  <si>
    <t xml:space="preserve">Alice Johnson</t>
  </si>
  <si>
    <t xml:space="preserve">Bob Martinez</t>
  </si>
  <si>
    <t xml:space="preserve">Carol White</t>
  </si>
  <si>
    <t xml:space="preserve">David Kim</t>
  </si>
  <si>
    <t xml:space="preserve">Eve Thompson</t>
  </si>
  <si>
    <t xml:space="preserve">C. FORMAT &amp; CONCATENATE</t>
  </si>
  <si>
    <t xml:space="preserve">Revenue (raw):</t>
  </si>
  <si>
    <t xml:space="preserve">Formatted as Currency String:</t>
  </si>
  <si>
    <t xml:space="preserve">Date formatted:</t>
  </si>
  <si>
    <t xml:space="preserve">CONCAT with condition:</t>
  </si>
  <si>
    <t xml:space="preserve">REPT for bar chart text:</t>
  </si>
  <si>
    <t xml:space="preserve">TEXTJOIN regions:</t>
  </si>
  <si>
    <t xml:space="preserve">FINANCIAL FORMULA SCENARIOS</t>
  </si>
  <si>
    <t xml:space="preserve">A. LOAN / MORTGAGE CALCULATOR</t>
  </si>
  <si>
    <t xml:space="preserve">--- INPUTS ---</t>
  </si>
  <si>
    <t xml:space="preserve">Loan Amount</t>
  </si>
  <si>
    <t xml:space="preserve">Annual Interest Rate</t>
  </si>
  <si>
    <t xml:space="preserve">Loan Term (Years)</t>
  </si>
  <si>
    <t xml:space="preserve">Payments Per Year</t>
  </si>
  <si>
    <t xml:space="preserve">--- CALCULATED OUTPUTS ---</t>
  </si>
  <si>
    <t xml:space="preserve">Monthly Payment</t>
  </si>
  <si>
    <t xml:space="preserve">Total Payment</t>
  </si>
  <si>
    <t xml:space="preserve">Total Interest</t>
  </si>
  <si>
    <t xml:space="preserve">Interest % of Total</t>
  </si>
  <si>
    <t xml:space="preserve">B. AMORTIZATION TABLE (First 12 Months)</t>
  </si>
  <si>
    <t xml:space="preserve">Opening Balance</t>
  </si>
  <si>
    <t xml:space="preserve">Interest Paid</t>
  </si>
  <si>
    <t xml:space="preserve">Principal Paid</t>
  </si>
  <si>
    <t xml:space="preserve">Closing Balance</t>
  </si>
  <si>
    <t xml:space="preserve">C. NPV / IRR / INVESTMENT ANALYSIS</t>
  </si>
  <si>
    <t xml:space="preserve">Discount Rate:</t>
  </si>
  <si>
    <t xml:space="preserve">Cash Flow ($)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</si>
  <si>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</si>
  <si>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</si>
  <si>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</si>
  <si>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</si>
  <si>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</si>
  <si>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</si>
  <si>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</si>
  <si>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NPV of Project:</t>
  </si>
  <si>
    <t xml:space="preserve">IRR:</t>
  </si>
  <si>
    <t xml:space="preserve">Payback Period (years):</t>
  </si>
  <si>
    <t xml:space="preserve">D. DEPRECIATION METHODS</t>
  </si>
  <si>
    <t xml:space="preserve">Asset Cost:</t>
  </si>
  <si>
    <t xml:space="preserve">Salvage Value:</t>
  </si>
  <si>
    <t xml:space="preserve">Useful Life (yrs):</t>
  </si>
  <si>
    <t xml:space="preserve">SLN (Straight-Line)</t>
  </si>
  <si>
    <t xml:space="preserve">DDB (Double-Declining)</t>
  </si>
  <si>
    <t xml:space="preserve">SYD (Sum-of-Years)</t>
  </si>
  <si>
    <t xml:space="preserve">LOGIC &amp; ERROR HANDLING FORMULA SCENARIOS</t>
  </si>
  <si>
    <t xml:space="preserve">A. NESTED IF / IFS / SWITCH</t>
  </si>
  <si>
    <t xml:space="preserve">Score</t>
  </si>
  <si>
    <t xml:space="preserve">Grade (Nested IF)</t>
  </si>
  <si>
    <t xml:space="preserve">Grade (IFS)</t>
  </si>
  <si>
    <t xml:space="preserve">Performance Band</t>
  </si>
  <si>
    <t xml:space="preserve">Bonus %</t>
  </si>
  <si>
    <t xml:space="preserve">B. ERROR HANDLING</t>
  </si>
  <si>
    <t xml:space="preserve">Formula</t>
  </si>
  <si>
    <t xml:space="preserve">Raw Result</t>
  </si>
  <si>
    <t xml:space="preserve">With IFERROR</t>
  </si>
  <si>
    <t xml:space="preserve">With IFNA</t>
  </si>
  <si>
    <t xml:space="preserve">With ISERROR</t>
  </si>
  <si>
    <t xml:space="preserve">Division by zero</t>
  </si>
  <si>
    <t xml:space="preserve">Shows: #DIV/0! when formula is =1/0</t>
  </si>
  <si>
    <t xml:space="preserve">N/A not applicable for DIV/0</t>
  </si>
  <si>
    <t xml:space="preserve">VLOOKUP missing</t>
  </si>
  <si>
    <t xml:space="preserve">Shows: #N/A when VLOOKUP key not found</t>
  </si>
  <si>
    <t xml:space="preserve">IFNA catches #N/A from VLOOKUP</t>
  </si>
  <si>
    <t xml:space="preserve">Text as number</t>
  </si>
  <si>
    <t xml:space="preserve">Shows: #VALUE! when text used in math</t>
  </si>
  <si>
    <t xml:space="preserve">C. LOGICAL COMBINATIONS (AND/OR/NOT/XOR)</t>
  </si>
  <si>
    <t xml:space="preserve">AND condition</t>
  </si>
  <si>
    <t xml:space="preserve">OR condition</t>
  </si>
  <si>
    <t xml:space="preserve">Complex Logic</t>
  </si>
  <si>
    <t xml:space="preserve">📊  EXECUTIVE DASHBOARD — FORMULA SHOWCASE</t>
  </si>
  <si>
    <t xml:space="preserve">KEY PERFORMANCE INDICATORS</t>
  </si>
  <si>
    <t xml:space="preserve">Total Gross Profit</t>
  </si>
  <si>
    <t xml:space="preserve">Overall GP Margin</t>
  </si>
  <si>
    <t xml:space="preserve">Avg Transaction Size</t>
  </si>
  <si>
    <t xml:space="preserve"># Transactions</t>
  </si>
  <si>
    <t xml:space="preserve">Best Month Revenue</t>
  </si>
  <si>
    <t xml:space="preserve">Top Salesperson</t>
  </si>
  <si>
    <t xml:space="preserve">REVENUE BY REGION</t>
  </si>
  <si>
    <t xml:space="preserve">REVENUE BY CATEGORY</t>
  </si>
  <si>
    <t xml:space="preserve">% Share</t>
  </si>
  <si>
    <t xml:space="preserve">Transactions</t>
  </si>
  <si>
    <t xml:space="preserve">MONTHLY REVENUE TREND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</si>
  <si>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</si>
  <si>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</si>
  <si>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</si>
  <si>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</si>
  <si>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</si>
  <si>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</si>
  <si>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</si>
  <si>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</si>
  <si>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</si>
  <si>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</si>
  <si>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</si>
  <si>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</si>
  <si>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Revenue ($)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</si>
</sst>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yyyy\-mm\-dd"/>
    <numFmt numFmtId="168" formatCode="0.00"/>
    <numFmt numFmtId="169" formatCode="0.00%"/>
    <numFmt numFmtId="170" formatCode="#,##0.00"/>
    <numFmt numFmtId="171" formatCode="0%"/>
    <numFmt numFmtId="172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10"/>
      <color rgb="FF000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333300"/>
      </patternFill>
    </fill>
    <fill>
      <patternFill patternType="solid">
        <fgColor rgb="FFC55A11"/>
        <bgColor rgb="FF993300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1" min="9" style="1" width="12"/>
    <col collapsed="false" customWidth="true" hidden="false" outlineLevel="0" max="12" min="12" style="1" width="10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customFormat="false" ht="15" hidden="false" customHeight="tru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5" t="n">
        <v>10</v>
      </c>
      <c r="H3" s="5" t="n">
        <v>1200</v>
      </c>
      <c r="I3" s="6" t="n">
        <f aca="false">G3*H3</f>
        <v>12000</v>
      </c>
      <c r="J3" s="6" t="n">
        <f aca="false">I3*0.6</f>
        <v>7200</v>
      </c>
      <c r="K3" s="6" t="n">
        <f aca="false">I3-J3</f>
        <v>4800</v>
      </c>
      <c r="L3" s="7" t="n">
        <f aca="false">K3/I3</f>
        <v>0.4</v>
      </c>
    </row>
    <row r="4" customFormat="false" ht="15" hidden="false" customHeight="true" outlineLevel="0" collapsed="false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5" t="n">
        <v>25</v>
      </c>
      <c r="H4" s="5" t="n">
        <v>350</v>
      </c>
      <c r="I4" s="6" t="n">
        <f aca="false">G4*H4</f>
        <v>8750</v>
      </c>
      <c r="J4" s="6" t="n">
        <f aca="false">I4*0.55</f>
        <v>4812.5</v>
      </c>
      <c r="K4" s="6" t="n">
        <f aca="false">I4-J4</f>
        <v>3937.5</v>
      </c>
      <c r="L4" s="7" t="n">
        <f aca="false">K4/I4</f>
        <v>0.45</v>
      </c>
    </row>
    <row r="5" customFormat="false" ht="15" hidden="false" customHeight="true" outlineLevel="0" collapsed="false">
      <c r="A5" s="4" t="s">
        <v>25</v>
      </c>
      <c r="B5" s="4" t="s">
        <v>26</v>
      </c>
      <c r="C5" s="4" t="s">
        <v>27</v>
      </c>
      <c r="D5" s="4" t="s">
        <v>28</v>
      </c>
      <c r="E5" s="4" t="s">
        <v>17</v>
      </c>
      <c r="F5" s="4" t="s">
        <v>18</v>
      </c>
      <c r="G5" s="5" t="n">
        <v>8</v>
      </c>
      <c r="H5" s="5" t="n">
        <v>1200</v>
      </c>
      <c r="I5" s="6" t="n">
        <f aca="false">G5*H5</f>
        <v>9600</v>
      </c>
      <c r="J5" s="6" t="n">
        <f aca="false">I5*0.6</f>
        <v>5760</v>
      </c>
      <c r="K5" s="6" t="n">
        <f aca="false">I5-J5</f>
        <v>3840</v>
      </c>
      <c r="L5" s="7" t="n">
        <f aca="false">K5/I5</f>
        <v>0.4</v>
      </c>
    </row>
    <row r="6" customFormat="false" ht="15" hidden="false" customHeight="true" outlineLevel="0" collapsed="false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18</v>
      </c>
      <c r="G6" s="5" t="n">
        <v>15</v>
      </c>
      <c r="H6" s="5" t="n">
        <v>400</v>
      </c>
      <c r="I6" s="6" t="n">
        <f aca="false">G6*H6</f>
        <v>6000</v>
      </c>
      <c r="J6" s="6" t="n">
        <f aca="false">I6*0.58</f>
        <v>3480</v>
      </c>
      <c r="K6" s="6" t="n">
        <f aca="false">I6-J6</f>
        <v>2520</v>
      </c>
      <c r="L6" s="7" t="n">
        <f aca="false">K6/I6</f>
        <v>0.42</v>
      </c>
    </row>
    <row r="7" customFormat="false" ht="15" hidden="false" customHeight="true" outlineLevel="0" collapsed="false">
      <c r="A7" s="4" t="s">
        <v>34</v>
      </c>
      <c r="B7" s="4" t="s">
        <v>35</v>
      </c>
      <c r="C7" s="4" t="s">
        <v>15</v>
      </c>
      <c r="D7" s="4" t="s">
        <v>16</v>
      </c>
      <c r="E7" s="4" t="s">
        <v>36</v>
      </c>
      <c r="F7" s="4" t="s">
        <v>24</v>
      </c>
      <c r="G7" s="5" t="n">
        <v>5</v>
      </c>
      <c r="H7" s="5" t="n">
        <v>650</v>
      </c>
      <c r="I7" s="6" t="n">
        <f aca="false">G7*H7</f>
        <v>3250</v>
      </c>
      <c r="J7" s="6" t="n">
        <f aca="false">I7*0.52</f>
        <v>1690</v>
      </c>
      <c r="K7" s="6" t="n">
        <f aca="false">I7-J7</f>
        <v>1560</v>
      </c>
      <c r="L7" s="7" t="n">
        <f aca="false">K7/I7</f>
        <v>0.48</v>
      </c>
    </row>
    <row r="8" customFormat="false" ht="15" hidden="false" customHeight="true" outlineLevel="0" collapsed="false">
      <c r="A8" s="4" t="s">
        <v>37</v>
      </c>
      <c r="B8" s="4" t="s">
        <v>38</v>
      </c>
      <c r="C8" s="4" t="s">
        <v>21</v>
      </c>
      <c r="D8" s="4" t="s">
        <v>39</v>
      </c>
      <c r="E8" s="4" t="s">
        <v>40</v>
      </c>
      <c r="F8" s="4" t="s">
        <v>18</v>
      </c>
      <c r="G8" s="5" t="n">
        <v>50</v>
      </c>
      <c r="H8" s="5" t="n">
        <v>130</v>
      </c>
      <c r="I8" s="6" t="n">
        <f aca="false">G8*H8</f>
        <v>6500</v>
      </c>
      <c r="J8" s="6" t="n">
        <f aca="false">I8*0.45</f>
        <v>2925</v>
      </c>
      <c r="K8" s="6" t="n">
        <f aca="false">I8-J8</f>
        <v>3575</v>
      </c>
      <c r="L8" s="7" t="n">
        <f aca="false">K8/I8</f>
        <v>0.55</v>
      </c>
    </row>
    <row r="9" customFormat="false" ht="15" hidden="false" customHeight="true" outlineLevel="0" collapsed="false">
      <c r="A9" s="4" t="s">
        <v>41</v>
      </c>
      <c r="B9" s="4" t="s">
        <v>42</v>
      </c>
      <c r="C9" s="4" t="s">
        <v>27</v>
      </c>
      <c r="D9" s="4" t="s">
        <v>22</v>
      </c>
      <c r="E9" s="4" t="s">
        <v>33</v>
      </c>
      <c r="F9" s="4" t="s">
        <v>18</v>
      </c>
      <c r="G9" s="5" t="n">
        <v>12</v>
      </c>
      <c r="H9" s="5" t="n">
        <v>400</v>
      </c>
      <c r="I9" s="6" t="n">
        <f aca="false">G9*H9</f>
        <v>4800</v>
      </c>
      <c r="J9" s="6" t="n">
        <f aca="false">I9*0.58</f>
        <v>2784</v>
      </c>
      <c r="K9" s="6" t="n">
        <f aca="false">I9-J9</f>
        <v>2016</v>
      </c>
      <c r="L9" s="7" t="n">
        <f aca="false">K9/I9</f>
        <v>0.42</v>
      </c>
    </row>
    <row r="10" customFormat="false" ht="15" hidden="false" customHeight="true" outlineLevel="0" collapsed="false">
      <c r="A10" s="4" t="s">
        <v>43</v>
      </c>
      <c r="B10" s="4" t="s">
        <v>44</v>
      </c>
      <c r="C10" s="4" t="s">
        <v>15</v>
      </c>
      <c r="D10" s="4" t="s">
        <v>28</v>
      </c>
      <c r="E10" s="4" t="s">
        <v>45</v>
      </c>
      <c r="F10" s="4" t="s">
        <v>24</v>
      </c>
      <c r="G10" s="5" t="n">
        <v>30</v>
      </c>
      <c r="H10" s="5" t="n">
        <v>280</v>
      </c>
      <c r="I10" s="6" t="n">
        <f aca="false">G10*H10</f>
        <v>8400</v>
      </c>
      <c r="J10" s="6" t="n">
        <f aca="false">I10*0.55</f>
        <v>4620</v>
      </c>
      <c r="K10" s="6" t="n">
        <f aca="false">I10-J10</f>
        <v>3780</v>
      </c>
      <c r="L10" s="7" t="n">
        <f aca="false">K10/I10</f>
        <v>0.45</v>
      </c>
    </row>
    <row r="11" customFormat="false" ht="15" hidden="false" customHeight="true" outlineLevel="0" collapsed="false">
      <c r="A11" s="4" t="s">
        <v>46</v>
      </c>
      <c r="B11" s="4" t="s">
        <v>47</v>
      </c>
      <c r="C11" s="4" t="s">
        <v>31</v>
      </c>
      <c r="D11" s="4" t="s">
        <v>32</v>
      </c>
      <c r="E11" s="4" t="s">
        <v>17</v>
      </c>
      <c r="F11" s="4" t="s">
        <v>18</v>
      </c>
      <c r="G11" s="5" t="n">
        <v>6</v>
      </c>
      <c r="H11" s="5" t="n">
        <v>1200</v>
      </c>
      <c r="I11" s="6" t="n">
        <f aca="false">G11*H11</f>
        <v>7200</v>
      </c>
      <c r="J11" s="6" t="n">
        <f aca="false">I11*0.6</f>
        <v>4320</v>
      </c>
      <c r="K11" s="6" t="n">
        <f aca="false">I11-J11</f>
        <v>2880</v>
      </c>
      <c r="L11" s="7" t="n">
        <f aca="false">K11/I11</f>
        <v>0.4</v>
      </c>
    </row>
    <row r="12" customFormat="false" ht="15" hidden="false" customHeight="true" outlineLevel="0" collapsed="false">
      <c r="A12" s="4" t="s">
        <v>48</v>
      </c>
      <c r="B12" s="4" t="s">
        <v>49</v>
      </c>
      <c r="C12" s="4" t="s">
        <v>21</v>
      </c>
      <c r="D12" s="4" t="s">
        <v>16</v>
      </c>
      <c r="E12" s="4" t="s">
        <v>40</v>
      </c>
      <c r="F12" s="4" t="s">
        <v>18</v>
      </c>
      <c r="G12" s="5" t="n">
        <v>80</v>
      </c>
      <c r="H12" s="5" t="n">
        <v>130</v>
      </c>
      <c r="I12" s="6" t="n">
        <f aca="false">G12*H12</f>
        <v>10400</v>
      </c>
      <c r="J12" s="6" t="n">
        <f aca="false">I12*0.45</f>
        <v>4680</v>
      </c>
      <c r="K12" s="6" t="n">
        <f aca="false">I12-J12</f>
        <v>5720</v>
      </c>
      <c r="L12" s="7" t="n">
        <f aca="false">K12/I12</f>
        <v>0.55</v>
      </c>
    </row>
    <row r="13" customFormat="false" ht="15" hidden="false" customHeight="true" outlineLevel="0" collapsed="false">
      <c r="A13" s="4" t="s">
        <v>50</v>
      </c>
      <c r="B13" s="4" t="s">
        <v>51</v>
      </c>
      <c r="C13" s="4" t="s">
        <v>27</v>
      </c>
      <c r="D13" s="4" t="s">
        <v>39</v>
      </c>
      <c r="E13" s="4" t="s">
        <v>36</v>
      </c>
      <c r="F13" s="4" t="s">
        <v>24</v>
      </c>
      <c r="G13" s="5" t="n">
        <v>8</v>
      </c>
      <c r="H13" s="5" t="n">
        <v>650</v>
      </c>
      <c r="I13" s="6" t="n">
        <f aca="false">G13*H13</f>
        <v>5200</v>
      </c>
      <c r="J13" s="6" t="n">
        <f aca="false">I13*0.52</f>
        <v>2704</v>
      </c>
      <c r="K13" s="6" t="n">
        <f aca="false">I13-J13</f>
        <v>2496</v>
      </c>
      <c r="L13" s="7" t="n">
        <f aca="false">K13/I13</f>
        <v>0.48</v>
      </c>
    </row>
    <row r="14" customFormat="false" ht="15" hidden="false" customHeight="true" outlineLevel="0" collapsed="false">
      <c r="A14" s="4" t="s">
        <v>52</v>
      </c>
      <c r="B14" s="4" t="s">
        <v>53</v>
      </c>
      <c r="C14" s="4" t="s">
        <v>15</v>
      </c>
      <c r="D14" s="4" t="s">
        <v>22</v>
      </c>
      <c r="E14" s="4" t="s">
        <v>54</v>
      </c>
      <c r="F14" s="4" t="s">
        <v>18</v>
      </c>
      <c r="G14" s="5" t="n">
        <v>40</v>
      </c>
      <c r="H14" s="5" t="n">
        <v>90</v>
      </c>
      <c r="I14" s="6" t="n">
        <f aca="false">G14*H14</f>
        <v>3600</v>
      </c>
      <c r="J14" s="6" t="n">
        <f aca="false">I14*0.5</f>
        <v>1800</v>
      </c>
      <c r="K14" s="6" t="n">
        <f aca="false">I14-J14</f>
        <v>1800</v>
      </c>
      <c r="L14" s="7" t="n">
        <f aca="false">K14/I14</f>
        <v>0.5</v>
      </c>
    </row>
    <row r="15" customFormat="false" ht="15" hidden="false" customHeight="true" outlineLevel="0" collapsed="false">
      <c r="A15" s="4" t="s">
        <v>55</v>
      </c>
      <c r="B15" s="4" t="s">
        <v>56</v>
      </c>
      <c r="C15" s="4" t="s">
        <v>31</v>
      </c>
      <c r="D15" s="4" t="s">
        <v>28</v>
      </c>
      <c r="E15" s="4" t="s">
        <v>17</v>
      </c>
      <c r="F15" s="4" t="s">
        <v>18</v>
      </c>
      <c r="G15" s="5" t="n">
        <v>14</v>
      </c>
      <c r="H15" s="5" t="n">
        <v>1200</v>
      </c>
      <c r="I15" s="6" t="n">
        <f aca="false">G15*H15</f>
        <v>16800</v>
      </c>
      <c r="J15" s="6" t="n">
        <f aca="false">I15*0.6</f>
        <v>10080</v>
      </c>
      <c r="K15" s="6" t="n">
        <f aca="false">I15-J15</f>
        <v>6720</v>
      </c>
      <c r="L15" s="7" t="n">
        <f aca="false">K15/I15</f>
        <v>0.4</v>
      </c>
    </row>
    <row r="16" customFormat="false" ht="15" hidden="false" customHeight="true" outlineLevel="0" collapsed="false">
      <c r="A16" s="4" t="s">
        <v>57</v>
      </c>
      <c r="B16" s="4" t="s">
        <v>58</v>
      </c>
      <c r="C16" s="4" t="s">
        <v>21</v>
      </c>
      <c r="D16" s="4" t="s">
        <v>32</v>
      </c>
      <c r="E16" s="4" t="s">
        <v>23</v>
      </c>
      <c r="F16" s="4" t="s">
        <v>24</v>
      </c>
      <c r="G16" s="5" t="n">
        <v>20</v>
      </c>
      <c r="H16" s="5" t="n">
        <v>350</v>
      </c>
      <c r="I16" s="6" t="n">
        <f aca="false">G16*H16</f>
        <v>7000</v>
      </c>
      <c r="J16" s="6" t="n">
        <f aca="false">I16*0.55</f>
        <v>3850</v>
      </c>
      <c r="K16" s="6" t="n">
        <f aca="false">I16-J16</f>
        <v>3150</v>
      </c>
      <c r="L16" s="7" t="n">
        <f aca="false">K16/I16</f>
        <v>0.45</v>
      </c>
    </row>
    <row r="17" customFormat="false" ht="15" hidden="false" customHeight="true" outlineLevel="0" collapsed="false">
      <c r="A17" s="4" t="s">
        <v>59</v>
      </c>
      <c r="B17" s="4" t="s">
        <v>60</v>
      </c>
      <c r="C17" s="4" t="s">
        <v>27</v>
      </c>
      <c r="D17" s="4" t="s">
        <v>16</v>
      </c>
      <c r="E17" s="4" t="s">
        <v>33</v>
      </c>
      <c r="F17" s="4" t="s">
        <v>18</v>
      </c>
      <c r="G17" s="5" t="n">
        <v>9</v>
      </c>
      <c r="H17" s="5" t="n">
        <v>400</v>
      </c>
      <c r="I17" s="6" t="n">
        <f aca="false">G17*H17</f>
        <v>3600</v>
      </c>
      <c r="J17" s="6" t="n">
        <f aca="false">I17*0.58</f>
        <v>2088</v>
      </c>
      <c r="K17" s="6" t="n">
        <f aca="false">I17-J17</f>
        <v>1512</v>
      </c>
      <c r="L17" s="7" t="n">
        <f aca="false">K17/I17</f>
        <v>0.42</v>
      </c>
    </row>
    <row r="18" customFormat="false" ht="15" hidden="false" customHeight="true" outlineLevel="0" collapsed="false">
      <c r="A18" s="4" t="s">
        <v>61</v>
      </c>
      <c r="B18" s="4" t="s">
        <v>62</v>
      </c>
      <c r="C18" s="4" t="s">
        <v>15</v>
      </c>
      <c r="D18" s="4" t="s">
        <v>39</v>
      </c>
      <c r="E18" s="4" t="s">
        <v>54</v>
      </c>
      <c r="F18" s="4" t="s">
        <v>18</v>
      </c>
      <c r="G18" s="5" t="n">
        <v>35</v>
      </c>
      <c r="H18" s="5" t="n">
        <v>90</v>
      </c>
      <c r="I18" s="6" t="n">
        <f aca="false">G18*H18</f>
        <v>3150</v>
      </c>
      <c r="J18" s="6" t="n">
        <f aca="false">I18*0.5</f>
        <v>1575</v>
      </c>
      <c r="K18" s="6" t="n">
        <f aca="false">I18-J18</f>
        <v>1575</v>
      </c>
      <c r="L18" s="7" t="n">
        <f aca="false">K18/I18</f>
        <v>0.5</v>
      </c>
    </row>
    <row r="19" customFormat="false" ht="15" hidden="false" customHeight="true" outlineLevel="0" collapsed="false">
      <c r="A19" s="4" t="s">
        <v>63</v>
      </c>
      <c r="B19" s="4" t="s">
        <v>64</v>
      </c>
      <c r="C19" s="4" t="s">
        <v>31</v>
      </c>
      <c r="D19" s="4" t="s">
        <v>22</v>
      </c>
      <c r="E19" s="4" t="s">
        <v>36</v>
      </c>
      <c r="F19" s="4" t="s">
        <v>24</v>
      </c>
      <c r="G19" s="5" t="n">
        <v>12</v>
      </c>
      <c r="H19" s="5" t="n">
        <v>650</v>
      </c>
      <c r="I19" s="6" t="n">
        <f aca="false">G19*H19</f>
        <v>7800</v>
      </c>
      <c r="J19" s="6" t="n">
        <f aca="false">I19*0.52</f>
        <v>4056</v>
      </c>
      <c r="K19" s="6" t="n">
        <f aca="false">I19-J19</f>
        <v>3744</v>
      </c>
      <c r="L19" s="7" t="n">
        <f aca="false">K19/I19</f>
        <v>0.48</v>
      </c>
    </row>
    <row r="20" customFormat="false" ht="15" hidden="false" customHeight="true" outlineLevel="0" collapsed="false">
      <c r="A20" s="4" t="s">
        <v>65</v>
      </c>
      <c r="B20" s="4" t="s">
        <v>66</v>
      </c>
      <c r="C20" s="4" t="s">
        <v>21</v>
      </c>
      <c r="D20" s="4" t="s">
        <v>28</v>
      </c>
      <c r="E20" s="4" t="s">
        <v>40</v>
      </c>
      <c r="F20" s="4" t="s">
        <v>18</v>
      </c>
      <c r="G20" s="5" t="n">
        <v>60</v>
      </c>
      <c r="H20" s="5" t="n">
        <v>130</v>
      </c>
      <c r="I20" s="6" t="n">
        <f aca="false">G20*H20</f>
        <v>7800</v>
      </c>
      <c r="J20" s="6" t="n">
        <f aca="false">I20*0.45</f>
        <v>3510</v>
      </c>
      <c r="K20" s="6" t="n">
        <f aca="false">I20-J20</f>
        <v>4290</v>
      </c>
      <c r="L20" s="7" t="n">
        <f aca="false">K20/I20</f>
        <v>0.55</v>
      </c>
    </row>
    <row r="21" customFormat="false" ht="15" hidden="false" customHeight="true" outlineLevel="0" collapsed="false">
      <c r="A21" s="4" t="s">
        <v>67</v>
      </c>
      <c r="B21" s="4" t="s">
        <v>68</v>
      </c>
      <c r="C21" s="4" t="s">
        <v>27</v>
      </c>
      <c r="D21" s="4" t="s">
        <v>32</v>
      </c>
      <c r="E21" s="4" t="s">
        <v>45</v>
      </c>
      <c r="F21" s="4" t="s">
        <v>24</v>
      </c>
      <c r="G21" s="5" t="n">
        <v>25</v>
      </c>
      <c r="H21" s="5" t="n">
        <v>280</v>
      </c>
      <c r="I21" s="6" t="n">
        <f aca="false">G21*H21</f>
        <v>7000</v>
      </c>
      <c r="J21" s="6" t="n">
        <f aca="false">I21*0.55</f>
        <v>3850</v>
      </c>
      <c r="K21" s="6" t="n">
        <f aca="false">I21-J21</f>
        <v>3150</v>
      </c>
      <c r="L21" s="7" t="n">
        <f aca="false">K21/I21</f>
        <v>0.45</v>
      </c>
    </row>
    <row r="22" customFormat="false" ht="15" hidden="false" customHeight="true" outlineLevel="0" collapsed="false">
      <c r="A22" s="4" t="s">
        <v>69</v>
      </c>
      <c r="B22" s="4" t="s">
        <v>70</v>
      </c>
      <c r="C22" s="4" t="s">
        <v>15</v>
      </c>
      <c r="D22" s="4" t="s">
        <v>16</v>
      </c>
      <c r="E22" s="4" t="s">
        <v>17</v>
      </c>
      <c r="F22" s="4" t="s">
        <v>18</v>
      </c>
      <c r="G22" s="5" t="n">
        <v>11</v>
      </c>
      <c r="H22" s="5" t="n">
        <v>1200</v>
      </c>
      <c r="I22" s="6" t="n">
        <f aca="false">G22*H22</f>
        <v>13200</v>
      </c>
      <c r="J22" s="6" t="n">
        <f aca="false">I22*0.6</f>
        <v>7920</v>
      </c>
      <c r="K22" s="6" t="n">
        <f aca="false">I22-J22</f>
        <v>5280</v>
      </c>
      <c r="L22" s="7" t="n">
        <f aca="false">K22/I22</f>
        <v>0.4</v>
      </c>
    </row>
    <row r="23" customFormat="false" ht="15" hidden="false" customHeight="true" outlineLevel="0" collapsed="false">
      <c r="A23" s="4" t="s">
        <v>71</v>
      </c>
      <c r="B23" s="4" t="s">
        <v>72</v>
      </c>
      <c r="C23" s="4" t="s">
        <v>31</v>
      </c>
      <c r="D23" s="4" t="s">
        <v>39</v>
      </c>
      <c r="E23" s="4" t="s">
        <v>33</v>
      </c>
      <c r="F23" s="4" t="s">
        <v>18</v>
      </c>
      <c r="G23" s="5" t="n">
        <v>18</v>
      </c>
      <c r="H23" s="5" t="n">
        <v>400</v>
      </c>
      <c r="I23" s="6" t="n">
        <f aca="false">G23*H23</f>
        <v>7200</v>
      </c>
      <c r="J23" s="6" t="n">
        <f aca="false">I23*0.58</f>
        <v>4176</v>
      </c>
      <c r="K23" s="6" t="n">
        <f aca="false">I23-J23</f>
        <v>3024</v>
      </c>
      <c r="L23" s="7" t="n">
        <f aca="false">K23/I23</f>
        <v>0.42</v>
      </c>
    </row>
    <row r="24" customFormat="false" ht="15" hidden="false" customHeight="true" outlineLevel="0" collapsed="false">
      <c r="A24" s="4" t="s">
        <v>73</v>
      </c>
      <c r="B24" s="4" t="s">
        <v>74</v>
      </c>
      <c r="C24" s="4" t="s">
        <v>21</v>
      </c>
      <c r="D24" s="4" t="s">
        <v>22</v>
      </c>
      <c r="E24" s="4" t="s">
        <v>54</v>
      </c>
      <c r="F24" s="4" t="s">
        <v>18</v>
      </c>
      <c r="G24" s="5" t="n">
        <v>55</v>
      </c>
      <c r="H24" s="5" t="n">
        <v>90</v>
      </c>
      <c r="I24" s="6" t="n">
        <f aca="false">G24*H24</f>
        <v>4950</v>
      </c>
      <c r="J24" s="6" t="n">
        <f aca="false">I24*0.5</f>
        <v>2475</v>
      </c>
      <c r="K24" s="6" t="n">
        <f aca="false">I24-J24</f>
        <v>2475</v>
      </c>
      <c r="L24" s="7" t="n">
        <f aca="false">K24/I24</f>
        <v>0.5</v>
      </c>
    </row>
    <row r="25" customFormat="false" ht="15" hidden="false" customHeight="true" outlineLevel="0" collapsed="false">
      <c r="A25" s="4" t="s">
        <v>75</v>
      </c>
      <c r="B25" s="4" t="s">
        <v>76</v>
      </c>
      <c r="C25" s="4" t="s">
        <v>27</v>
      </c>
      <c r="D25" s="4" t="s">
        <v>28</v>
      </c>
      <c r="E25" s="4" t="s">
        <v>23</v>
      </c>
      <c r="F25" s="4" t="s">
        <v>24</v>
      </c>
      <c r="G25" s="5" t="n">
        <v>18</v>
      </c>
      <c r="H25" s="5" t="n">
        <v>350</v>
      </c>
      <c r="I25" s="6" t="n">
        <f aca="false">G25*H25</f>
        <v>6300</v>
      </c>
      <c r="J25" s="6" t="n">
        <f aca="false">I25*0.55</f>
        <v>3465</v>
      </c>
      <c r="K25" s="6" t="n">
        <f aca="false">I25-J25</f>
        <v>2835</v>
      </c>
      <c r="L25" s="7" t="n">
        <f aca="false">K25/I25</f>
        <v>0.45</v>
      </c>
    </row>
    <row r="26" customFormat="false" ht="15" hidden="false" customHeight="true" outlineLevel="0" collapsed="false">
      <c r="A26" s="4" t="s">
        <v>77</v>
      </c>
      <c r="B26" s="4" t="s">
        <v>78</v>
      </c>
      <c r="C26" s="4" t="s">
        <v>15</v>
      </c>
      <c r="D26" s="4" t="s">
        <v>32</v>
      </c>
      <c r="E26" s="4" t="s">
        <v>40</v>
      </c>
      <c r="F26" s="4" t="s">
        <v>18</v>
      </c>
      <c r="G26" s="5" t="n">
        <v>70</v>
      </c>
      <c r="H26" s="5" t="n">
        <v>130</v>
      </c>
      <c r="I26" s="6" t="n">
        <f aca="false">G26*H26</f>
        <v>9100</v>
      </c>
      <c r="J26" s="6" t="n">
        <f aca="false">I26*0.45</f>
        <v>4095</v>
      </c>
      <c r="K26" s="6" t="n">
        <f aca="false">I26-J26</f>
        <v>5005</v>
      </c>
      <c r="L26" s="7" t="n">
        <f aca="false">K26/I26</f>
        <v>0.55</v>
      </c>
    </row>
    <row r="27" customFormat="false" ht="15" hidden="false" customHeight="true" outlineLevel="0" collapsed="false">
      <c r="A27" s="4" t="s">
        <v>79</v>
      </c>
      <c r="B27" s="4" t="s">
        <v>80</v>
      </c>
      <c r="C27" s="4" t="s">
        <v>31</v>
      </c>
      <c r="D27" s="4" t="s">
        <v>16</v>
      </c>
      <c r="E27" s="4" t="s">
        <v>36</v>
      </c>
      <c r="F27" s="4" t="s">
        <v>24</v>
      </c>
      <c r="G27" s="5" t="n">
        <v>10</v>
      </c>
      <c r="H27" s="5" t="n">
        <v>650</v>
      </c>
      <c r="I27" s="6" t="n">
        <f aca="false">G27*H27</f>
        <v>6500</v>
      </c>
      <c r="J27" s="6" t="n">
        <f aca="false">I27*0.52</f>
        <v>3380</v>
      </c>
      <c r="K27" s="6" t="n">
        <f aca="false">I27-J27</f>
        <v>3120</v>
      </c>
      <c r="L27" s="7" t="n">
        <f aca="false">K27/I27</f>
        <v>0.48</v>
      </c>
    </row>
    <row r="28" customFormat="false" ht="15" hidden="false" customHeight="true" outlineLevel="0" collapsed="false">
      <c r="A28" s="4" t="s">
        <v>81</v>
      </c>
      <c r="B28" s="4" t="s">
        <v>82</v>
      </c>
      <c r="C28" s="4" t="s">
        <v>21</v>
      </c>
      <c r="D28" s="4" t="s">
        <v>39</v>
      </c>
      <c r="E28" s="4" t="s">
        <v>17</v>
      </c>
      <c r="F28" s="4" t="s">
        <v>18</v>
      </c>
      <c r="G28" s="5" t="n">
        <v>7</v>
      </c>
      <c r="H28" s="5" t="n">
        <v>1200</v>
      </c>
      <c r="I28" s="6" t="n">
        <f aca="false">G28*H28</f>
        <v>8400</v>
      </c>
      <c r="J28" s="6" t="n">
        <f aca="false">I28*0.6</f>
        <v>5040</v>
      </c>
      <c r="K28" s="6" t="n">
        <f aca="false">I28-J28</f>
        <v>3360</v>
      </c>
      <c r="L28" s="7" t="n">
        <f aca="false">K28/I28</f>
        <v>0.4</v>
      </c>
    </row>
    <row r="29" customFormat="false" ht="15" hidden="false" customHeight="true" outlineLevel="0" collapsed="false">
      <c r="A29" s="4" t="s">
        <v>83</v>
      </c>
      <c r="B29" s="4" t="s">
        <v>84</v>
      </c>
      <c r="C29" s="4" t="s">
        <v>27</v>
      </c>
      <c r="D29" s="4" t="s">
        <v>22</v>
      </c>
      <c r="E29" s="4" t="s">
        <v>45</v>
      </c>
      <c r="F29" s="4" t="s">
        <v>24</v>
      </c>
      <c r="G29" s="5" t="n">
        <v>22</v>
      </c>
      <c r="H29" s="5" t="n">
        <v>280</v>
      </c>
      <c r="I29" s="6" t="n">
        <f aca="false">G29*H29</f>
        <v>6160</v>
      </c>
      <c r="J29" s="6" t="n">
        <f aca="false">I29*0.55</f>
        <v>3388</v>
      </c>
      <c r="K29" s="6" t="n">
        <f aca="false">I29-J29</f>
        <v>2772</v>
      </c>
      <c r="L29" s="7" t="n">
        <f aca="false">K29/I29</f>
        <v>0.45</v>
      </c>
    </row>
    <row r="30" customFormat="false" ht="15" hidden="false" customHeight="true" outlineLevel="0" collapsed="false">
      <c r="A30" s="4" t="s">
        <v>85</v>
      </c>
      <c r="B30" s="4" t="s">
        <v>86</v>
      </c>
      <c r="C30" s="4" t="s">
        <v>15</v>
      </c>
      <c r="D30" s="4" t="s">
        <v>28</v>
      </c>
      <c r="E30" s="4" t="s">
        <v>33</v>
      </c>
      <c r="F30" s="4" t="s">
        <v>18</v>
      </c>
      <c r="G30" s="5" t="n">
        <v>16</v>
      </c>
      <c r="H30" s="5" t="n">
        <v>400</v>
      </c>
      <c r="I30" s="6" t="n">
        <f aca="false">G30*H30</f>
        <v>6400</v>
      </c>
      <c r="J30" s="6" t="n">
        <f aca="false">I30*0.58</f>
        <v>3712</v>
      </c>
      <c r="K30" s="6" t="n">
        <f aca="false">I30-J30</f>
        <v>2688</v>
      </c>
      <c r="L30" s="7" t="n">
        <f aca="false">K30/I30</f>
        <v>0.42</v>
      </c>
    </row>
    <row r="31" customFormat="false" ht="15" hidden="false" customHeight="true" outlineLevel="0" collapsed="false">
      <c r="A31" s="4" t="s">
        <v>87</v>
      </c>
      <c r="B31" s="4" t="s">
        <v>88</v>
      </c>
      <c r="C31" s="4" t="s">
        <v>31</v>
      </c>
      <c r="D31" s="4" t="s">
        <v>32</v>
      </c>
      <c r="E31" s="4" t="s">
        <v>54</v>
      </c>
      <c r="F31" s="4" t="s">
        <v>18</v>
      </c>
      <c r="G31" s="5" t="n">
        <v>45</v>
      </c>
      <c r="H31" s="5" t="n">
        <v>90</v>
      </c>
      <c r="I31" s="6" t="n">
        <f aca="false">G31*H31</f>
        <v>4050</v>
      </c>
      <c r="J31" s="6" t="n">
        <f aca="false">I31*0.5</f>
        <v>2025</v>
      </c>
      <c r="K31" s="6" t="n">
        <f aca="false">I31-J31</f>
        <v>2025</v>
      </c>
      <c r="L31" s="7" t="n">
        <f aca="false">K31/I31</f>
        <v>0.5</v>
      </c>
    </row>
    <row r="32" customFormat="false" ht="15" hidden="false" customHeight="true" outlineLevel="0" collapsed="false">
      <c r="A32" s="4" t="s">
        <v>89</v>
      </c>
      <c r="B32" s="4" t="s">
        <v>90</v>
      </c>
      <c r="C32" s="4" t="s">
        <v>21</v>
      </c>
      <c r="D32" s="4" t="s">
        <v>16</v>
      </c>
      <c r="E32" s="4" t="s">
        <v>40</v>
      </c>
      <c r="F32" s="4" t="s">
        <v>18</v>
      </c>
      <c r="G32" s="5" t="n">
        <v>90</v>
      </c>
      <c r="H32" s="5" t="n">
        <v>130</v>
      </c>
      <c r="I32" s="6" t="n">
        <f aca="false">G32*H32</f>
        <v>11700</v>
      </c>
      <c r="J32" s="6" t="n">
        <f aca="false">I32*0.45</f>
        <v>5265</v>
      </c>
      <c r="K32" s="6" t="n">
        <f aca="false">I32-J32</f>
        <v>6435</v>
      </c>
      <c r="L32" s="7" t="n">
        <f aca="false">K32/I32</f>
        <v>0.55</v>
      </c>
    </row>
    <row r="33" customFormat="false" ht="15" hidden="false" customHeight="true" outlineLevel="0" collapsed="false">
      <c r="A33" s="4" t="s">
        <v>91</v>
      </c>
      <c r="B33" s="4" t="s">
        <v>92</v>
      </c>
      <c r="C33" s="4" t="s">
        <v>27</v>
      </c>
      <c r="D33" s="4" t="s">
        <v>39</v>
      </c>
      <c r="E33" s="4" t="s">
        <v>17</v>
      </c>
      <c r="F33" s="4" t="s">
        <v>18</v>
      </c>
      <c r="G33" s="5" t="n">
        <v>9</v>
      </c>
      <c r="H33" s="5" t="n">
        <v>1200</v>
      </c>
      <c r="I33" s="6" t="n">
        <f aca="false">G33*H33</f>
        <v>10800</v>
      </c>
      <c r="J33" s="6" t="n">
        <f aca="false">I33*0.6</f>
        <v>6480</v>
      </c>
      <c r="K33" s="6" t="n">
        <f aca="false">I33-J33</f>
        <v>4320</v>
      </c>
      <c r="L33" s="7" t="n">
        <f aca="false">K33/I33</f>
        <v>0.4</v>
      </c>
    </row>
    <row r="34" customFormat="false" ht="15" hidden="false" customHeight="true" outlineLevel="0" collapsed="false">
      <c r="A34" s="4" t="s">
        <v>93</v>
      </c>
      <c r="B34" s="4" t="s">
        <v>94</v>
      </c>
      <c r="C34" s="4" t="s">
        <v>15</v>
      </c>
      <c r="D34" s="4" t="s">
        <v>22</v>
      </c>
      <c r="E34" s="4" t="s">
        <v>23</v>
      </c>
      <c r="F34" s="4" t="s">
        <v>24</v>
      </c>
      <c r="G34" s="5" t="n">
        <v>28</v>
      </c>
      <c r="H34" s="5" t="n">
        <v>350</v>
      </c>
      <c r="I34" s="6" t="n">
        <f aca="false">G34*H34</f>
        <v>9800</v>
      </c>
      <c r="J34" s="6" t="n">
        <f aca="false">I34*0.55</f>
        <v>5390</v>
      </c>
      <c r="K34" s="6" t="n">
        <f aca="false">I34-J34</f>
        <v>4410</v>
      </c>
      <c r="L34" s="7" t="n">
        <f aca="false">K34/I34</f>
        <v>0.45</v>
      </c>
    </row>
    <row r="35" customFormat="false" ht="15" hidden="false" customHeight="true" outlineLevel="0" collapsed="false">
      <c r="A35" s="8" t="s">
        <v>95</v>
      </c>
      <c r="B35" s="9"/>
      <c r="C35" s="9"/>
      <c r="D35" s="9"/>
      <c r="E35" s="9"/>
      <c r="F35" s="9"/>
      <c r="G35" s="10" t="n">
        <f aca="false">SUM(G3:G34)</f>
        <v>863</v>
      </c>
      <c r="I35" s="10" t="n">
        <f aca="false">SUM(I3:I34)</f>
        <v>243410</v>
      </c>
      <c r="J35" s="10" t="n">
        <f aca="false">SUM(J3:J34)</f>
        <v>132595.5</v>
      </c>
      <c r="K35" s="10" t="n">
        <f aca="false">SUM(K3:K34)</f>
        <v>110814.5</v>
      </c>
      <c r="L35" s="11" t="n">
        <f aca="false">K35/I35</f>
        <v>0.455258617148022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8" min="7" style="1" width="12"/>
  </cols>
  <sheetData>
    <row r="1" customFormat="false" ht="15" hidden="false" customHeight="true" outlineLevel="0" collapsed="false">
      <c r="A1" s="2" t="s">
        <v>96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" t="s">
        <v>97</v>
      </c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12" t="s">
        <v>5</v>
      </c>
      <c r="B4" s="12" t="s">
        <v>98</v>
      </c>
      <c r="C4" s="12" t="s">
        <v>99</v>
      </c>
      <c r="D4" s="12" t="s">
        <v>100</v>
      </c>
    </row>
    <row r="5" customFormat="false" ht="15" hidden="false" customHeight="true" outlineLevel="0" collapsed="false">
      <c r="A5" s="13" t="s">
        <v>17</v>
      </c>
      <c r="B5" s="14" t="str">
        <f aca="false">IFERROR(VLOOKUP(A5,Sales_Data!E:F,2,FALSE()),"Not Found")</f>
        <v>Electronics</v>
      </c>
      <c r="C5" s="15" t="n">
        <f aca="false">IFERROR(INDEX(Sales_Data!H:H,MATCH(A5,Sales_Data!E:E,0)),"N/A")</f>
        <v>1200</v>
      </c>
      <c r="D5" s="15" t="n">
        <f aca="false">SUMIF(Sales_Data!E:E,A5,Sales_Data!I:I)</f>
        <v>78000</v>
      </c>
    </row>
    <row r="6" customFormat="false" ht="15" hidden="false" customHeight="true" outlineLevel="0" collapsed="false">
      <c r="A6" s="13" t="s">
        <v>33</v>
      </c>
      <c r="B6" s="14" t="str">
        <f aca="false">IFERROR(VLOOKUP(A6,Sales_Data!E:F,2,FALSE()),"Not Found")</f>
        <v>Electronics</v>
      </c>
      <c r="C6" s="15" t="n">
        <f aca="false">IFERROR(INDEX(Sales_Data!H:H,MATCH(A6,Sales_Data!E:E,0)),"N/A")</f>
        <v>400</v>
      </c>
      <c r="D6" s="15" t="n">
        <f aca="false">SUMIF(Sales_Data!E:E,A6,Sales_Data!I:I)</f>
        <v>28000</v>
      </c>
    </row>
    <row r="7" customFormat="false" ht="15" hidden="false" customHeight="true" outlineLevel="0" collapsed="false">
      <c r="A7" s="13" t="s">
        <v>40</v>
      </c>
      <c r="B7" s="14" t="str">
        <f aca="false">IFERROR(VLOOKUP(A7,Sales_Data!E:F,2,FALSE()),"Not Found")</f>
        <v>Electronics</v>
      </c>
      <c r="C7" s="15" t="n">
        <f aca="false">IFERROR(INDEX(Sales_Data!H:H,MATCH(A7,Sales_Data!E:E,0)),"N/A")</f>
        <v>130</v>
      </c>
      <c r="D7" s="15" t="n">
        <f aca="false">SUMIF(Sales_Data!E:E,A7,Sales_Data!I:I)</f>
        <v>45500</v>
      </c>
    </row>
    <row r="8" customFormat="false" ht="15" hidden="false" customHeight="true" outlineLevel="0" collapsed="false">
      <c r="A8" s="13" t="s">
        <v>23</v>
      </c>
      <c r="B8" s="14" t="str">
        <f aca="false">IFERROR(VLOOKUP(A8,Sales_Data!E:F,2,FALSE()),"Not Found")</f>
        <v>Furniture</v>
      </c>
      <c r="C8" s="15" t="n">
        <f aca="false">IFERROR(INDEX(Sales_Data!H:H,MATCH(A8,Sales_Data!E:E,0)),"N/A")</f>
        <v>350</v>
      </c>
      <c r="D8" s="15" t="n">
        <f aca="false">SUMIF(Sales_Data!E:E,A8,Sales_Data!I:I)</f>
        <v>31850</v>
      </c>
    </row>
    <row r="9" customFormat="false" ht="15" hidden="false" customHeight="true" outlineLevel="0" collapsed="false">
      <c r="A9" s="13" t="s">
        <v>45</v>
      </c>
      <c r="B9" s="14" t="str">
        <f aca="false">IFERROR(VLOOKUP(A9,Sales_Data!E:F,2,FALSE()),"Not Found")</f>
        <v>Furniture</v>
      </c>
      <c r="C9" s="15" t="n">
        <f aca="false">IFERROR(INDEX(Sales_Data!H:H,MATCH(A9,Sales_Data!E:E,0)),"N/A")</f>
        <v>280</v>
      </c>
      <c r="D9" s="15" t="n">
        <f aca="false">SUMIF(Sales_Data!E:E,A9,Sales_Data!I:I)</f>
        <v>21560</v>
      </c>
    </row>
    <row r="10" customFormat="false" ht="15" hidden="false" customHeight="true" outlineLevel="0" collapsed="false">
      <c r="A10" s="13" t="s">
        <v>36</v>
      </c>
      <c r="B10" s="14" t="str">
        <f aca="false">IFERROR(VLOOKUP(A10,Sales_Data!E:F,2,FALSE()),"Not Found")</f>
        <v>Furniture</v>
      </c>
      <c r="C10" s="15" t="n">
        <f aca="false">IFERROR(INDEX(Sales_Data!H:H,MATCH(A10,Sales_Data!E:E,0)),"N/A")</f>
        <v>650</v>
      </c>
      <c r="D10" s="15" t="n">
        <f aca="false">SUMIF(Sales_Data!E:E,A10,Sales_Data!I:I)</f>
        <v>22750</v>
      </c>
    </row>
    <row r="11" customFormat="false" ht="15" hidden="false" customHeight="true" outlineLevel="0" collapsed="false">
      <c r="A11" s="13" t="s">
        <v>54</v>
      </c>
      <c r="B11" s="14" t="str">
        <f aca="false">IFERROR(VLOOKUP(A11,Sales_Data!E:F,2,FALSE()),"Not Found")</f>
        <v>Electronics</v>
      </c>
      <c r="C11" s="15" t="n">
        <f aca="false">IFERROR(INDEX(Sales_Data!H:H,MATCH(A11,Sales_Data!E:E,0)),"N/A")</f>
        <v>90</v>
      </c>
      <c r="D11" s="15" t="n">
        <f aca="false">SUMIF(Sales_Data!E:E,A11,Sales_Data!I:I)</f>
        <v>15750</v>
      </c>
    </row>
    <row r="13" customFormat="false" ht="15" hidden="false" customHeight="true" outlineLevel="0" collapsed="false">
      <c r="A13" s="16" t="s">
        <v>101</v>
      </c>
      <c r="B13" s="16"/>
      <c r="C13" s="16"/>
      <c r="D13" s="16"/>
      <c r="E13" s="16"/>
      <c r="F13" s="16"/>
      <c r="G13" s="16"/>
      <c r="H13" s="16"/>
    </row>
    <row r="14" customFormat="false" ht="15" hidden="false" customHeight="true" outlineLevel="0" collapsed="false">
      <c r="A14" s="12" t="s">
        <v>3</v>
      </c>
      <c r="B14" s="12" t="s">
        <v>5</v>
      </c>
      <c r="C14" s="12" t="s">
        <v>102</v>
      </c>
      <c r="D14" s="12" t="s">
        <v>103</v>
      </c>
      <c r="E14" s="12" t="s">
        <v>104</v>
      </c>
    </row>
    <row r="15" customFormat="false" ht="15" hidden="false" customHeight="true" outlineLevel="0" collapsed="false">
      <c r="A15" s="13" t="s">
        <v>15</v>
      </c>
      <c r="B15" s="13" t="s">
        <v>17</v>
      </c>
      <c r="C15" s="15" t="n">
        <f aca="false">SUMIFS(Sales_Data!I:I,Sales_Data!C:C,A15,Sales_Data!E:E,B15)</f>
        <v>25200</v>
      </c>
      <c r="D15" s="17" t="n">
        <f aca="false">IFERROR(AVERAGEIFS(Sales_Data!L:L,Sales_Data!C:C,A15,Sales_Data!E:E,B15),0)</f>
        <v>0.4</v>
      </c>
      <c r="E15" s="14" t="n">
        <f aca="false">COUNTIFS(Sales_Data!C:C,A15,Sales_Data!E:E,B15)</f>
        <v>2</v>
      </c>
    </row>
    <row r="16" customFormat="false" ht="15" hidden="false" customHeight="true" outlineLevel="0" collapsed="false">
      <c r="A16" s="13" t="s">
        <v>21</v>
      </c>
      <c r="B16" s="13" t="s">
        <v>40</v>
      </c>
      <c r="C16" s="15" t="n">
        <f aca="false">SUMIFS(Sales_Data!I:I,Sales_Data!C:C,A16,Sales_Data!E:E,B16)</f>
        <v>36400</v>
      </c>
      <c r="D16" s="17" t="n">
        <f aca="false">IFERROR(AVERAGEIFS(Sales_Data!L:L,Sales_Data!C:C,A16,Sales_Data!E:E,B16),0)</f>
        <v>0.55</v>
      </c>
      <c r="E16" s="14" t="n">
        <f aca="false">COUNTIFS(Sales_Data!C:C,A16,Sales_Data!E:E,B16)</f>
        <v>4</v>
      </c>
    </row>
    <row r="17" customFormat="false" ht="15" hidden="false" customHeight="true" outlineLevel="0" collapsed="false">
      <c r="A17" s="13" t="s">
        <v>27</v>
      </c>
      <c r="B17" s="13" t="s">
        <v>33</v>
      </c>
      <c r="C17" s="15" t="n">
        <f aca="false">SUMIFS(Sales_Data!I:I,Sales_Data!C:C,A17,Sales_Data!E:E,B17)</f>
        <v>8400</v>
      </c>
      <c r="D17" s="17" t="n">
        <f aca="false">IFERROR(AVERAGEIFS(Sales_Data!L:L,Sales_Data!C:C,A17,Sales_Data!E:E,B17),0)</f>
        <v>0.42</v>
      </c>
      <c r="E17" s="14" t="n">
        <f aca="false">COUNTIFS(Sales_Data!C:C,A17,Sales_Data!E:E,B17)</f>
        <v>2</v>
      </c>
    </row>
    <row r="18" customFormat="false" ht="15" hidden="false" customHeight="true" outlineLevel="0" collapsed="false">
      <c r="A18" s="13" t="s">
        <v>31</v>
      </c>
      <c r="B18" s="13" t="s">
        <v>36</v>
      </c>
      <c r="C18" s="15" t="n">
        <f aca="false">SUMIFS(Sales_Data!I:I,Sales_Data!C:C,A18,Sales_Data!E:E,B18)</f>
        <v>14300</v>
      </c>
      <c r="D18" s="17" t="n">
        <f aca="false">IFERROR(AVERAGEIFS(Sales_Data!L:L,Sales_Data!C:C,A18,Sales_Data!E:E,B18),0)</f>
        <v>0.48</v>
      </c>
      <c r="E18" s="14" t="n">
        <f aca="false">COUNTIFS(Sales_Data!C:C,A18,Sales_Data!E:E,B18)</f>
        <v>2</v>
      </c>
    </row>
    <row r="21" customFormat="false" ht="15" hidden="false" customHeight="true" outlineLevel="0" collapsed="false">
      <c r="A21" s="18" t="s">
        <v>105</v>
      </c>
      <c r="B21" s="18"/>
      <c r="C21" s="18"/>
      <c r="D21" s="18"/>
      <c r="E21" s="18"/>
      <c r="F21" s="18"/>
      <c r="G21" s="18"/>
      <c r="H21" s="18"/>
    </row>
    <row r="22" customFormat="false" ht="15" hidden="false" customHeight="true" outlineLevel="0" collapsed="false">
      <c r="A22" s="13" t="s">
        <v>106</v>
      </c>
      <c r="B22" s="13" t="n">
        <v>3</v>
      </c>
    </row>
    <row r="23" customFormat="false" ht="15" hidden="false" customHeight="true" outlineLevel="0" collapsed="false">
      <c r="A23" s="13" t="s">
        <v>107</v>
      </c>
      <c r="B23" s="13" t="n">
        <v>8</v>
      </c>
    </row>
    <row r="24" customFormat="false" ht="15" hidden="false" customHeight="true" outlineLevel="0" collapsed="false">
      <c r="A24" s="13" t="s">
        <v>108</v>
      </c>
      <c r="B24" s="15" t="n">
        <f aca="true">OFFSET(Sales_Data!A2,B22,B23-1)</f>
        <v>1200</v>
      </c>
    </row>
    <row r="25" customFormat="false" ht="15" hidden="false" customHeight="true" outlineLevel="0" collapsed="false">
      <c r="A25" s="13" t="s">
        <v>109</v>
      </c>
      <c r="B25" s="15" t="n">
        <f aca="true">INDIRECT("Sales_Data!I"&amp;(B22+2))</f>
        <v>9600</v>
      </c>
    </row>
    <row r="26" customFormat="false" ht="15" hidden="false" customHeight="true" outlineLevel="0" collapsed="false">
      <c r="A26" s="13" t="s">
        <v>110</v>
      </c>
      <c r="B26" s="15" t="n">
        <f aca="false">LARGE(Sales_Data!I:I,1)</f>
        <v>243410</v>
      </c>
      <c r="C26" s="15" t="n">
        <f aca="false">LARGE(Sales_Data!I:I,2)</f>
        <v>16800</v>
      </c>
      <c r="D26" s="15" t="n">
        <f aca="false">LARGE(Sales_Data!I:I,3)</f>
        <v>13200</v>
      </c>
    </row>
    <row r="27" customFormat="false" ht="15" hidden="false" customHeight="true" outlineLevel="0" collapsed="false">
      <c r="A27" s="13" t="s">
        <v>111</v>
      </c>
      <c r="B27" s="14" t="n">
        <f aca="false">RANK(Sales_Data!I3,Sales_Data!I3:I34,0)</f>
        <v>3</v>
      </c>
    </row>
  </sheetData>
  <mergeCells count="4">
    <mergeCell ref="A1:H1"/>
    <mergeCell ref="A3:H3"/>
    <mergeCell ref="A13:H13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5"/>
    <col collapsed="false" customWidth="true" hidden="false" outlineLevel="0" max="4" min="4" style="1" width="18"/>
    <col collapsed="false" customWidth="true" hidden="false" outlineLevel="0" max="6" min="5" style="1" width="22"/>
  </cols>
  <sheetData>
    <row r="1" customFormat="false" ht="15" hidden="false" customHeight="true" outlineLevel="0" collapsed="false">
      <c r="A1" s="2" t="s">
        <v>112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2" t="s">
        <v>113</v>
      </c>
      <c r="B3" s="2"/>
      <c r="C3" s="2"/>
      <c r="D3" s="2"/>
      <c r="E3" s="2"/>
      <c r="F3" s="2"/>
    </row>
    <row r="4" customFormat="false" ht="15" hidden="false" customHeight="true" outlineLevel="0" collapsed="false">
      <c r="A4" s="12" t="s">
        <v>1</v>
      </c>
      <c r="B4" s="12" t="s">
        <v>2</v>
      </c>
      <c r="C4" s="12" t="s">
        <v>114</v>
      </c>
      <c r="D4" s="12" t="s">
        <v>115</v>
      </c>
      <c r="E4" s="12" t="s">
        <v>116</v>
      </c>
      <c r="F4" s="12" t="s">
        <v>117</v>
      </c>
    </row>
    <row r="5" customFormat="false" ht="15" hidden="false" customHeight="true" outlineLevel="0" collapsed="false">
      <c r="A5" s="13" t="s">
        <v>13</v>
      </c>
      <c r="B5" s="19" t="s">
        <v>14</v>
      </c>
      <c r="C5" s="14" t="n">
        <f aca="false">YEAR(B5)</f>
        <v>2024</v>
      </c>
      <c r="D5" s="14" t="str">
        <f aca="false">TEXT(B5,"MMMM")</f>
        <v>January</v>
      </c>
      <c r="E5" s="14" t="str">
        <f aca="false">CHOOSE(MONTH(B5),1,1,1,2,2,2,3,3,3,4,4,4)&amp;" Q"&amp;CHOOSE(MONTH(B5),1,1,1,2,2,2,3,3,3,4,4,4)</f>
        <v>1 Q1</v>
      </c>
      <c r="F5" s="14" t="n">
        <f aca="false">WEEKNUM(B5,2)</f>
        <v>1</v>
      </c>
    </row>
    <row r="6" customFormat="false" ht="15" hidden="false" customHeight="true" outlineLevel="0" collapsed="false">
      <c r="A6" s="13" t="s">
        <v>34</v>
      </c>
      <c r="B6" s="19" t="s">
        <v>35</v>
      </c>
      <c r="C6" s="14" t="n">
        <f aca="false">YEAR(B6)</f>
        <v>2024</v>
      </c>
      <c r="D6" s="14" t="str">
        <f aca="false">TEXT(B6,"MMMM")</f>
        <v>February</v>
      </c>
      <c r="E6" s="14" t="str">
        <f aca="false">CHOOSE(MONTH(B6),1,1,1,2,2,2,3,3,3,4,4,4)&amp;" Q"&amp;CHOOSE(MONTH(B6),1,1,1,2,2,2,3,3,3,4,4,4)</f>
        <v>1 Q1</v>
      </c>
      <c r="F6" s="14" t="n">
        <f aca="false">WEEKNUM(B6,2)</f>
        <v>7</v>
      </c>
    </row>
    <row r="7" customFormat="false" ht="15" hidden="false" customHeight="true" outlineLevel="0" collapsed="false">
      <c r="A7" s="13" t="s">
        <v>46</v>
      </c>
      <c r="B7" s="19" t="s">
        <v>47</v>
      </c>
      <c r="C7" s="14" t="n">
        <f aca="false">YEAR(B7)</f>
        <v>2024</v>
      </c>
      <c r="D7" s="14" t="str">
        <f aca="false">TEXT(B7,"MMMM")</f>
        <v>March</v>
      </c>
      <c r="E7" s="14" t="str">
        <f aca="false">CHOOSE(MONTH(B7),1,1,1,2,2,2,3,3,3,4,4,4)&amp;" Q"&amp;CHOOSE(MONTH(B7),1,1,1,2,2,2,3,3,3,4,4,4)</f>
        <v>1 Q1</v>
      </c>
      <c r="F7" s="14" t="n">
        <f aca="false">WEEKNUM(B7,2)</f>
        <v>12</v>
      </c>
    </row>
    <row r="8" customFormat="false" ht="15" hidden="false" customHeight="true" outlineLevel="0" collapsed="false">
      <c r="A8" s="13" t="s">
        <v>61</v>
      </c>
      <c r="B8" s="19" t="s">
        <v>62</v>
      </c>
      <c r="C8" s="14" t="n">
        <f aca="false">YEAR(B8)</f>
        <v>2024</v>
      </c>
      <c r="D8" s="14" t="str">
        <f aca="false">TEXT(B8,"MMMM")</f>
        <v>June</v>
      </c>
      <c r="E8" s="14" t="str">
        <f aca="false">CHOOSE(MONTH(B8),1,1,1,2,2,2,3,3,3,4,4,4)&amp;" Q"&amp;CHOOSE(MONTH(B8),1,1,1,2,2,2,3,3,3,4,4,4)</f>
        <v>2 Q2</v>
      </c>
      <c r="F8" s="14" t="n">
        <f aca="false">WEEKNUM(B8,2)</f>
        <v>23</v>
      </c>
    </row>
    <row r="9" customFormat="false" ht="15" hidden="false" customHeight="true" outlineLevel="0" collapsed="false">
      <c r="A9" s="13" t="s">
        <v>77</v>
      </c>
      <c r="B9" s="19" t="s">
        <v>78</v>
      </c>
      <c r="C9" s="14" t="n">
        <f aca="false">YEAR(B9)</f>
        <v>2024</v>
      </c>
      <c r="D9" s="14" t="str">
        <f aca="false">TEXT(B9,"MMMM")</f>
        <v>September</v>
      </c>
      <c r="E9" s="14" t="str">
        <f aca="false">CHOOSE(MONTH(B9),1,1,1,2,2,2,3,3,3,4,4,4)&amp;" Q"&amp;CHOOSE(MONTH(B9),1,1,1,2,2,2,3,3,3,4,4,4)</f>
        <v>3 Q3</v>
      </c>
      <c r="F9" s="14" t="n">
        <f aca="false">WEEKNUM(B9,2)</f>
        <v>37</v>
      </c>
    </row>
    <row r="10" customFormat="false" ht="15" hidden="false" customHeight="true" outlineLevel="0" collapsed="false">
      <c r="A10" s="13" t="s">
        <v>93</v>
      </c>
      <c r="B10" s="19" t="s">
        <v>94</v>
      </c>
      <c r="C10" s="14" t="n">
        <f aca="false">YEAR(B10)</f>
        <v>2024</v>
      </c>
      <c r="D10" s="14" t="str">
        <f aca="false">TEXT(B10,"MMMM")</f>
        <v>December</v>
      </c>
      <c r="E10" s="14" t="str">
        <f aca="false">CHOOSE(MONTH(B10),1,1,1,2,2,2,3,3,3,4,4,4)&amp;" Q"&amp;CHOOSE(MONTH(B10),1,1,1,2,2,2,3,3,3,4,4,4)</f>
        <v>4 Q4</v>
      </c>
      <c r="F10" s="14" t="n">
        <f aca="false">WEEKNUM(B10,2)</f>
        <v>51</v>
      </c>
    </row>
    <row r="12" customFormat="false" ht="15" hidden="false" customHeight="true" outlineLevel="0" collapsed="false">
      <c r="A12" s="16" t="s">
        <v>118</v>
      </c>
      <c r="B12" s="16"/>
      <c r="C12" s="16"/>
      <c r="D12" s="16"/>
      <c r="E12" s="16"/>
      <c r="F12" s="16"/>
    </row>
    <row r="13" customFormat="false" ht="15" hidden="false" customHeight="true" outlineLevel="0" collapsed="false">
      <c r="A13" s="12" t="s">
        <v>119</v>
      </c>
      <c r="B13" s="12" t="s">
        <v>120</v>
      </c>
      <c r="C13" s="12" t="s">
        <v>121</v>
      </c>
      <c r="D13" s="12" t="s">
        <v>122</v>
      </c>
      <c r="E13" s="12" t="s">
        <v>123</v>
      </c>
      <c r="F13" s="12" t="s">
        <v>124</v>
      </c>
    </row>
    <row r="14" customFormat="false" ht="15" hidden="false" customHeight="true" outlineLevel="0" collapsed="false">
      <c r="A14" s="19" t="s">
        <v>125</v>
      </c>
      <c r="B14" s="19" t="s">
        <v>126</v>
      </c>
      <c r="C14" s="14" t="n">
        <f aca="false">B14-A14</f>
        <v>90</v>
      </c>
      <c r="D14" s="14" t="n">
        <f aca="false">DATEDIF(A14,B14,"M")</f>
        <v>2</v>
      </c>
      <c r="E14" s="14" t="n">
        <f aca="false">NETWORKDAYS(A14,B14)</f>
        <v>65</v>
      </c>
      <c r="F14" s="20" t="n">
        <f aca="false">WORKDAY(A14,45)</f>
        <v>45355</v>
      </c>
    </row>
    <row r="15" customFormat="false" ht="15" hidden="false" customHeight="true" outlineLevel="0" collapsed="false">
      <c r="A15" s="19" t="s">
        <v>49</v>
      </c>
      <c r="B15" s="19" t="s">
        <v>127</v>
      </c>
      <c r="C15" s="14" t="n">
        <f aca="false">B15-A15</f>
        <v>90</v>
      </c>
      <c r="D15" s="14" t="n">
        <f aca="false">DATEDIF(A15,B15,"M")</f>
        <v>2</v>
      </c>
      <c r="E15" s="14" t="n">
        <f aca="false">NETWORKDAYS(A15,B15)</f>
        <v>65</v>
      </c>
      <c r="F15" s="20" t="n">
        <f aca="false">WORKDAY(A15,45)</f>
        <v>45446</v>
      </c>
    </row>
    <row r="16" customFormat="false" ht="15" hidden="false" customHeight="true" outlineLevel="0" collapsed="false">
      <c r="A16" s="19" t="s">
        <v>128</v>
      </c>
      <c r="B16" s="19" t="s">
        <v>129</v>
      </c>
      <c r="C16" s="14" t="n">
        <f aca="false">B16-A16</f>
        <v>91</v>
      </c>
      <c r="D16" s="14" t="n">
        <f aca="false">DATEDIF(A16,B16,"M")</f>
        <v>2</v>
      </c>
      <c r="E16" s="14" t="n">
        <f aca="false">NETWORKDAYS(A16,B16)</f>
        <v>66</v>
      </c>
      <c r="F16" s="20" t="n">
        <f aca="false">WORKDAY(A16,45)</f>
        <v>45537</v>
      </c>
    </row>
    <row r="17" customFormat="false" ht="15" hidden="false" customHeight="true" outlineLevel="0" collapsed="false">
      <c r="A17" s="19" t="s">
        <v>130</v>
      </c>
      <c r="B17" s="19" t="s">
        <v>131</v>
      </c>
      <c r="C17" s="14" t="n">
        <f aca="false">B17-A17</f>
        <v>91</v>
      </c>
      <c r="D17" s="14" t="n">
        <f aca="false">DATEDIF(A17,B17,"M")</f>
        <v>2</v>
      </c>
      <c r="E17" s="14" t="n">
        <f aca="false">NETWORKDAYS(A17,B17)</f>
        <v>66</v>
      </c>
      <c r="F17" s="20" t="n">
        <f aca="false">WORKDAY(A17,45)</f>
        <v>45629</v>
      </c>
    </row>
    <row r="20" customFormat="false" ht="15" hidden="false" customHeight="true" outlineLevel="0" collapsed="false">
      <c r="A20" s="18" t="s">
        <v>132</v>
      </c>
      <c r="B20" s="18"/>
      <c r="C20" s="18"/>
      <c r="D20" s="18"/>
      <c r="E20" s="18"/>
      <c r="F20" s="18"/>
    </row>
    <row r="21" customFormat="false" ht="15" hidden="false" customHeight="true" outlineLevel="0" collapsed="false">
      <c r="A21" s="12" t="s">
        <v>133</v>
      </c>
      <c r="B21" s="12" t="s">
        <v>134</v>
      </c>
      <c r="C21" s="12" t="s">
        <v>135</v>
      </c>
      <c r="D21" s="12" t="s">
        <v>136</v>
      </c>
      <c r="E21" s="12" t="s">
        <v>137</v>
      </c>
    </row>
    <row r="22" customFormat="false" ht="15" hidden="false" customHeight="true" outlineLevel="0" collapsed="false">
      <c r="A22" s="19" t="s">
        <v>130</v>
      </c>
      <c r="B22" s="21" t="n">
        <v>5000</v>
      </c>
      <c r="C22" s="14" t="n">
        <f aca="true">TODAY()-A22</f>
        <v>510</v>
      </c>
      <c r="D22" s="14" t="str">
        <f aca="false">IF(C22&lt;=30,"0-30 Days",IF(C22&lt;=60,"31-60 Days",IF(C22&lt;=90,"61-90 Days","&gt;90 Days")))</f>
        <v>&gt;90 Days</v>
      </c>
      <c r="E22" s="14" t="str">
        <f aca="false">IF(C22&lt;=30,"Current",IF(C22&lt;=60,"Watch",IF(C22&lt;=90,"Overdue","Critical")))</f>
        <v>Critical</v>
      </c>
    </row>
    <row r="23" customFormat="false" ht="15" hidden="false" customHeight="true" outlineLevel="0" collapsed="false">
      <c r="A23" s="19" t="s">
        <v>138</v>
      </c>
      <c r="B23" s="21" t="n">
        <v>12000</v>
      </c>
      <c r="C23" s="14" t="n">
        <f aca="true">TODAY()-A23</f>
        <v>496</v>
      </c>
      <c r="D23" s="14" t="str">
        <f aca="false">IF(C23&lt;=30,"0-30 Days",IF(C23&lt;=60,"31-60 Days",IF(C23&lt;=90,"61-90 Days","&gt;90 Days")))</f>
        <v>&gt;90 Days</v>
      </c>
      <c r="E23" s="14" t="str">
        <f aca="false">IF(C23&lt;=30,"Current",IF(C23&lt;=60,"Watch",IF(C23&lt;=90,"Overdue","Critical")))</f>
        <v>Critical</v>
      </c>
    </row>
    <row r="24" customFormat="false" ht="15" hidden="false" customHeight="true" outlineLevel="0" collapsed="false">
      <c r="A24" s="19" t="s">
        <v>139</v>
      </c>
      <c r="B24" s="21" t="n">
        <v>8500</v>
      </c>
      <c r="C24" s="14" t="n">
        <f aca="true">TODAY()-A24</f>
        <v>479</v>
      </c>
      <c r="D24" s="14" t="str">
        <f aca="false">IF(C24&lt;=30,"0-30 Days",IF(C24&lt;=60,"31-60 Days",IF(C24&lt;=90,"61-90 Days","&gt;90 Days")))</f>
        <v>&gt;90 Days</v>
      </c>
      <c r="E24" s="14" t="str">
        <f aca="false">IF(C24&lt;=30,"Current",IF(C24&lt;=60,"Watch",IF(C24&lt;=90,"Overdue","Critical")))</f>
        <v>Critical</v>
      </c>
    </row>
    <row r="25" customFormat="false" ht="15" hidden="false" customHeight="true" outlineLevel="0" collapsed="false">
      <c r="A25" s="19" t="s">
        <v>140</v>
      </c>
      <c r="B25" s="21" t="n">
        <v>3200</v>
      </c>
      <c r="C25" s="14" t="n">
        <f aca="true">TODAY()-A25</f>
        <v>460</v>
      </c>
      <c r="D25" s="14" t="str">
        <f aca="false">IF(C25&lt;=30,"0-30 Days",IF(C25&lt;=60,"31-60 Days",IF(C25&lt;=90,"61-90 Days","&gt;90 Days")))</f>
        <v>&gt;90 Days</v>
      </c>
      <c r="E25" s="14" t="str">
        <f aca="false">IF(C25&lt;=30,"Current",IF(C25&lt;=60,"Watch",IF(C25&lt;=90,"Overdue","Critical")))</f>
        <v>Critical</v>
      </c>
    </row>
    <row r="26" customFormat="false" ht="15" hidden="false" customHeight="true" outlineLevel="0" collapsed="false">
      <c r="A26" s="19" t="s">
        <v>90</v>
      </c>
      <c r="B26" s="21" t="n">
        <v>15000</v>
      </c>
      <c r="C26" s="14" t="n">
        <f aca="true">TODAY()-A26</f>
        <v>449</v>
      </c>
      <c r="D26" s="14" t="str">
        <f aca="false">IF(C26&lt;=30,"0-30 Days",IF(C26&lt;=60,"31-60 Days",IF(C26&lt;=90,"61-90 Days","&gt;90 Days")))</f>
        <v>&gt;90 Days</v>
      </c>
      <c r="E26" s="14" t="str">
        <f aca="false">IF(C26&lt;=30,"Current",IF(C26&lt;=60,"Watch",IF(C26&lt;=90,"Overdue","Critical")))</f>
        <v>Critical</v>
      </c>
    </row>
    <row r="27" customFormat="false" ht="15" hidden="false" customHeight="true" outlineLevel="0" collapsed="false">
      <c r="A27" s="19" t="s">
        <v>141</v>
      </c>
      <c r="B27" s="21" t="n">
        <v>7800</v>
      </c>
      <c r="C27" s="14" t="n">
        <f aca="true">TODAY()-A27</f>
        <v>435</v>
      </c>
      <c r="D27" s="14" t="str">
        <f aca="false">IF(C27&lt;=30,"0-30 Days",IF(C27&lt;=60,"31-60 Days",IF(C27&lt;=90,"61-90 Days","&gt;90 Days")))</f>
        <v>&gt;90 Days</v>
      </c>
      <c r="E27" s="14" t="str">
        <f aca="false">IF(C27&lt;=30,"Current",IF(C27&lt;=60,"Watch",IF(C27&lt;=90,"Overdue","Critical")))</f>
        <v>Critical</v>
      </c>
    </row>
  </sheetData>
  <mergeCells count="4">
    <mergeCell ref="A1:F1"/>
    <mergeCell ref="A3:F3"/>
    <mergeCell ref="A12:F12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" min="2" style="1" width="16"/>
  </cols>
  <sheetData>
    <row r="1" customFormat="false" ht="15" hidden="false" customHeight="true" outlineLevel="0" collapsed="false">
      <c r="A1" s="2" t="s">
        <v>142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" t="s">
        <v>143</v>
      </c>
      <c r="B3" s="2"/>
      <c r="C3" s="2"/>
      <c r="D3" s="2"/>
    </row>
    <row r="4" customFormat="false" ht="15" hidden="false" customHeight="true" outlineLevel="0" collapsed="false">
      <c r="A4" s="13" t="s">
        <v>102</v>
      </c>
      <c r="B4" s="15" t="n">
        <f aca="false">SUM(Sales_Data!I3:I34)</f>
        <v>243410</v>
      </c>
    </row>
    <row r="5" customFormat="false" ht="15" hidden="false" customHeight="true" outlineLevel="0" collapsed="false">
      <c r="A5" s="13" t="s">
        <v>144</v>
      </c>
      <c r="B5" s="15" t="n">
        <f aca="false">AVERAGE(Sales_Data!I3:I34)</f>
        <v>7606.5625</v>
      </c>
    </row>
    <row r="6" customFormat="false" ht="15" hidden="false" customHeight="true" outlineLevel="0" collapsed="false">
      <c r="A6" s="13" t="s">
        <v>145</v>
      </c>
      <c r="B6" s="15" t="n">
        <f aca="false">MEDIAN(Sales_Data!I3:I34)</f>
        <v>7100</v>
      </c>
    </row>
    <row r="7" customFormat="false" ht="15" hidden="false" customHeight="true" outlineLevel="0" collapsed="false">
      <c r="A7" s="13" t="s">
        <v>146</v>
      </c>
      <c r="B7" s="15" t="n">
        <f aca="false">STDEV(Sales_Data!I3:I34)</f>
        <v>3106.67710602969</v>
      </c>
    </row>
    <row r="8" customFormat="false" ht="15" hidden="false" customHeight="true" outlineLevel="0" collapsed="false">
      <c r="A8" s="13" t="s">
        <v>147</v>
      </c>
      <c r="B8" s="15" t="n">
        <f aca="false">VAR(Sales_Data!I3:I34)</f>
        <v>9651442.64112903</v>
      </c>
    </row>
    <row r="9" customFormat="false" ht="15" hidden="false" customHeight="true" outlineLevel="0" collapsed="false">
      <c r="A9" s="13" t="s">
        <v>148</v>
      </c>
      <c r="B9" s="15" t="n">
        <f aca="false">MIN(Sales_Data!I3:I34)</f>
        <v>3150</v>
      </c>
    </row>
    <row r="10" customFormat="false" ht="15" hidden="false" customHeight="true" outlineLevel="0" collapsed="false">
      <c r="A10" s="13" t="s">
        <v>149</v>
      </c>
      <c r="B10" s="15" t="n">
        <f aca="false">MAX(Sales_Data!I3:I34)</f>
        <v>16800</v>
      </c>
    </row>
    <row r="11" customFormat="false" ht="15" hidden="false" customHeight="true" outlineLevel="0" collapsed="false">
      <c r="A11" s="13" t="s">
        <v>150</v>
      </c>
      <c r="B11" s="15" t="n">
        <f aca="false">PERCENTILE(Sales_Data!I3:I34,0.25)</f>
        <v>5800</v>
      </c>
    </row>
    <row r="12" customFormat="false" ht="15" hidden="false" customHeight="true" outlineLevel="0" collapsed="false">
      <c r="A12" s="13" t="s">
        <v>151</v>
      </c>
      <c r="B12" s="15" t="n">
        <f aca="false">PERCENTILE(Sales_Data!I3:I34,0.75)</f>
        <v>9225</v>
      </c>
    </row>
    <row r="13" customFormat="false" ht="15" hidden="false" customHeight="true" outlineLevel="0" collapsed="false">
      <c r="A13" s="13" t="s">
        <v>152</v>
      </c>
      <c r="B13" s="17" t="n">
        <f aca="false">STDEV(Sales_Data!I3:I34)/AVERAGE(Sales_Data!I3:I34)</f>
        <v>0.408420637578367</v>
      </c>
    </row>
    <row r="14" customFormat="false" ht="15" hidden="false" customHeight="true" outlineLevel="0" collapsed="false">
      <c r="A14" s="13" t="s">
        <v>153</v>
      </c>
      <c r="B14" s="22" t="n">
        <f aca="false">SKEW(Sales_Data!I3:I34)</f>
        <v>0.883668016045853</v>
      </c>
    </row>
    <row r="15" customFormat="false" ht="15" hidden="false" customHeight="true" outlineLevel="0" collapsed="false">
      <c r="A15" s="13" t="s">
        <v>154</v>
      </c>
      <c r="B15" s="22" t="n">
        <f aca="false">KURT(Sales_Data!I3:I34)</f>
        <v>1.13416336549867</v>
      </c>
    </row>
    <row r="16" customFormat="false" ht="15" hidden="false" customHeight="true" outlineLevel="0" collapsed="false">
      <c r="A16" s="13" t="s">
        <v>104</v>
      </c>
      <c r="B16" s="15" t="n">
        <f aca="false">COUNT(Sales_Data!I3:I34)</f>
        <v>32</v>
      </c>
    </row>
    <row r="17" customFormat="false" ht="15" hidden="false" customHeight="true" outlineLevel="0" collapsed="false">
      <c r="A17" s="13" t="s">
        <v>155</v>
      </c>
      <c r="B17" s="15" t="n">
        <f aca="false">COUNTIF(Sales_Data!I3:I34,"&gt;"&amp;AVERAGE(Sales_Data!I3:I34))</f>
        <v>14</v>
      </c>
    </row>
    <row r="18" customFormat="false" ht="15" hidden="false" customHeight="true" outlineLevel="0" collapsed="false">
      <c r="A18" s="13" t="s">
        <v>156</v>
      </c>
      <c r="B18" s="22" t="n">
        <f aca="false">CORREL(Sales_Data!G3:G34,Sales_Data!I3:I34)</f>
        <v>0.078545449349191</v>
      </c>
    </row>
    <row r="21" customFormat="false" ht="15" hidden="false" customHeight="true" outlineLevel="0" collapsed="false">
      <c r="A21" s="16" t="s">
        <v>157</v>
      </c>
      <c r="B21" s="16"/>
      <c r="C21" s="16"/>
      <c r="D21" s="16"/>
      <c r="E21" s="16"/>
      <c r="F21" s="16"/>
      <c r="G21" s="16"/>
      <c r="H21" s="16"/>
    </row>
    <row r="22" customFormat="false" ht="15" hidden="false" customHeight="true" outlineLevel="0" collapsed="false">
      <c r="A22" s="12" t="s">
        <v>158</v>
      </c>
      <c r="B22" s="12" t="s">
        <v>18</v>
      </c>
      <c r="C22" s="12" t="s">
        <v>24</v>
      </c>
    </row>
    <row r="23" customFormat="false" ht="15" hidden="false" customHeight="true" outlineLevel="0" collapsed="false">
      <c r="A23" s="13" t="s">
        <v>102</v>
      </c>
      <c r="B23" s="15" t="n">
        <f aca="false">SUMIF(Sales_Data!F:F,"Electronics",Sales_Data!I:I)</f>
        <v>167250</v>
      </c>
      <c r="C23" s="15" t="n">
        <f aca="false">SUMIF(Sales_Data!F:F,"Furniture",Sales_Data!I:I)</f>
        <v>76160</v>
      </c>
    </row>
    <row r="24" customFormat="false" ht="15" hidden="false" customHeight="true" outlineLevel="0" collapsed="false">
      <c r="A24" s="13" t="s">
        <v>159</v>
      </c>
      <c r="B24" s="15" t="n">
        <f aca="false">AVERAGEIF(Sales_Data!F:F,"Electronics",Sales_Data!I:I)</f>
        <v>7964.28571428572</v>
      </c>
      <c r="C24" s="15" t="n">
        <f aca="false">AVERAGEIF(Sales_Data!F:F,"Furniture",Sales_Data!I:I)</f>
        <v>6923.63636363636</v>
      </c>
    </row>
    <row r="25" customFormat="false" ht="15" hidden="false" customHeight="true" outlineLevel="0" collapsed="false">
      <c r="A25" s="13" t="s">
        <v>160</v>
      </c>
      <c r="B25" s="14" t="n">
        <f aca="false">COUNTIF(Sales_Data!F:F,"Electronics")</f>
        <v>21</v>
      </c>
      <c r="C25" s="14" t="n">
        <f aca="false">COUNTIF(Sales_Data!F:F,"Furniture")</f>
        <v>11</v>
      </c>
    </row>
    <row r="26" customFormat="false" ht="15" hidden="false" customHeight="true" outlineLevel="0" collapsed="false">
      <c r="A26" s="13" t="s">
        <v>149</v>
      </c>
      <c r="B26" s="15" t="n">
        <f aca="false">LARGE(Sales_Data!I3:I34,1)</f>
        <v>16800</v>
      </c>
      <c r="C26" s="15" t="n">
        <f aca="false">LARGE(Sales_Data!I3:I34,2)</f>
        <v>13200</v>
      </c>
    </row>
    <row r="27" customFormat="false" ht="15" hidden="false" customHeight="true" outlineLevel="0" collapsed="false">
      <c r="A27" s="13" t="s">
        <v>148</v>
      </c>
      <c r="B27" s="15" t="n">
        <f aca="false">LARGE(Sales_Data!I3:I34,3)</f>
        <v>12000</v>
      </c>
      <c r="C27" s="15" t="n">
        <f aca="false">LARGE(Sales_Data!I3:I34,4)</f>
        <v>11700</v>
      </c>
    </row>
    <row r="30" customFormat="false" ht="15" hidden="false" customHeight="true" outlineLevel="0" collapsed="false">
      <c r="A30" s="18" t="s">
        <v>161</v>
      </c>
      <c r="B30" s="18"/>
      <c r="C30" s="18"/>
      <c r="D30" s="18"/>
      <c r="E30" s="18"/>
      <c r="F30" s="18"/>
      <c r="G30" s="18"/>
      <c r="H30" s="18"/>
    </row>
    <row r="31" customFormat="false" ht="15" hidden="false" customHeight="true" outlineLevel="0" collapsed="false">
      <c r="A31" s="13" t="s">
        <v>162</v>
      </c>
      <c r="B31" s="17" t="n">
        <f aca="false">SUMPRODUCT(Sales_Data!I3:I34,Sales_Data!K3:K34)/SUM(Sales_Data!I3:I34)</f>
        <v>3971.88198923627</v>
      </c>
    </row>
    <row r="32" customFormat="false" ht="15" hidden="false" customHeight="true" outlineLevel="0" collapsed="false">
      <c r="A32" s="13" t="s">
        <v>163</v>
      </c>
      <c r="B32" s="15" t="n">
        <f aca="false">PRODUCT(Sales_Data!H3:H7)</f>
        <v>131040000000000</v>
      </c>
    </row>
    <row r="33" customFormat="false" ht="15" hidden="false" customHeight="true" outlineLevel="0" collapsed="false">
      <c r="A33" s="13" t="s">
        <v>164</v>
      </c>
      <c r="B33" s="15" t="n">
        <f aca="false">SUMPRODUCT((Sales_Data!C3:C34="North")*Sales_Data!I3:I34)</f>
        <v>68900</v>
      </c>
    </row>
    <row r="34" customFormat="false" ht="15" hidden="false" customHeight="true" outlineLevel="0" collapsed="false">
      <c r="A34" s="13" t="s">
        <v>165</v>
      </c>
      <c r="B34" s="14" t="n">
        <f aca="false">SUMPRODUCT(1/COUNTIF(Sales_Data!E3:E34,Sales_Data!E3:E34))</f>
        <v>7</v>
      </c>
    </row>
    <row r="35" customFormat="false" ht="15" hidden="false" customHeight="true" outlineLevel="0" collapsed="false">
      <c r="A35" s="13" t="s">
        <v>166</v>
      </c>
      <c r="B35" s="15" t="n">
        <f aca="false">AVERAGE(LARGE(Sales_Data!I3:I34,{1,2,3,4,5}))</f>
        <v>12900</v>
      </c>
    </row>
  </sheetData>
  <mergeCells count="4">
    <mergeCell ref="A1:H1"/>
    <mergeCell ref="A3:D3"/>
    <mergeCell ref="A21:H21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0"/>
    <col collapsed="false" customWidth="true" hidden="false" outlineLevel="0" max="4" min="4" style="1" width="35"/>
    <col collapsed="false" customWidth="true" hidden="false" outlineLevel="0" max="5" min="5" style="1" width="14"/>
    <col collapsed="false" customWidth="true" hidden="false" outlineLevel="0" max="6" min="6" style="1" width="16"/>
  </cols>
  <sheetData>
    <row r="1" customFormat="false" ht="15" hidden="false" customHeight="true" outlineLevel="0" collapsed="false">
      <c r="A1" s="2" t="s">
        <v>167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2" t="s">
        <v>168</v>
      </c>
      <c r="B3" s="2"/>
      <c r="C3" s="2"/>
      <c r="D3" s="2"/>
      <c r="E3" s="2"/>
      <c r="F3" s="2"/>
    </row>
    <row r="4" customFormat="false" ht="15" hidden="false" customHeight="true" outlineLevel="0" collapsed="false">
      <c r="A4" s="12" t="s">
        <v>169</v>
      </c>
      <c r="B4" s="12" t="s">
        <v>170</v>
      </c>
      <c r="C4" s="12" t="s">
        <v>171</v>
      </c>
      <c r="D4" s="12" t="s">
        <v>172</v>
      </c>
      <c r="E4" s="12" t="s">
        <v>173</v>
      </c>
      <c r="F4" s="12" t="s">
        <v>174</v>
      </c>
    </row>
    <row r="5" customFormat="false" ht="15" hidden="false" customHeight="true" outlineLevel="0" collapsed="false">
      <c r="A5" s="13" t="s">
        <v>175</v>
      </c>
      <c r="B5" s="14" t="str">
        <f aca="false">UPPER(TRIM(A5))</f>
        <v>LAPTOP PRO</v>
      </c>
      <c r="C5" s="14" t="str">
        <f aca="false">PROPER(TRIM(A5))</f>
        <v>Laptop Pro</v>
      </c>
      <c r="D5" s="14" t="n">
        <f aca="false">LEN(TRIM(A5))</f>
        <v>10</v>
      </c>
      <c r="E5" s="14" t="str">
        <f aca="false">TRIM(A5)</f>
        <v>laptop pro</v>
      </c>
      <c r="F5" s="14" t="str">
        <f aca="false">SUBSTITUTE(TRIM(A5)," ","_")</f>
        <v>laptop_pro</v>
      </c>
    </row>
    <row r="6" customFormat="false" ht="15" hidden="false" customHeight="true" outlineLevel="0" collapsed="false">
      <c r="A6" s="13" t="s">
        <v>176</v>
      </c>
      <c r="B6" s="14" t="str">
        <f aca="false">UPPER(TRIM(A6))</f>
        <v>DESK CHAIR DELUXE</v>
      </c>
      <c r="C6" s="14" t="str">
        <f aca="false">PROPER(TRIM(A6))</f>
        <v>Desk Chair Deluxe</v>
      </c>
      <c r="D6" s="14" t="n">
        <f aca="false">LEN(TRIM(A6))</f>
        <v>17</v>
      </c>
      <c r="E6" s="14" t="str">
        <f aca="false">TRIM(A6)</f>
        <v>DESK CHAIR deluxe</v>
      </c>
      <c r="F6" s="14" t="str">
        <f aca="false">SUBSTITUTE(TRIM(A6)," ","_")</f>
        <v>DESK_CHAIR_deluxe</v>
      </c>
    </row>
    <row r="7" customFormat="false" ht="15" hidden="false" customHeight="true" outlineLevel="0" collapsed="false">
      <c r="A7" s="13" t="s">
        <v>177</v>
      </c>
      <c r="B7" s="14" t="str">
        <f aca="false">UPPER(TRIM(A7))</f>
        <v>KEYBOARD MX WIRELESS</v>
      </c>
      <c r="C7" s="14" t="str">
        <f aca="false">PROPER(TRIM(A7))</f>
        <v>Keyboard Mx Wireless</v>
      </c>
      <c r="D7" s="14" t="n">
        <f aca="false">LEN(TRIM(A7))</f>
        <v>20</v>
      </c>
      <c r="E7" s="14" t="str">
        <f aca="false">TRIM(A7)</f>
        <v>keyboard mx wireless</v>
      </c>
      <c r="F7" s="14" t="str">
        <f aca="false">SUBSTITUTE(TRIM(A7)," ","_")</f>
        <v>keyboard_mx_wireless</v>
      </c>
    </row>
    <row r="8" customFormat="false" ht="15" hidden="false" customHeight="true" outlineLevel="0" collapsed="false">
      <c r="A8" s="13" t="s">
        <v>178</v>
      </c>
      <c r="B8" s="14" t="str">
        <f aca="false">UPPER(TRIM(A8))</f>
        <v>MONITOR 4K UHD</v>
      </c>
      <c r="C8" s="14" t="str">
        <f aca="false">PROPER(TRIM(A8))</f>
        <v>Monitor 4K Uhd</v>
      </c>
      <c r="D8" s="14" t="n">
        <f aca="false">LEN(TRIM(A8))</f>
        <v>14</v>
      </c>
      <c r="E8" s="14" t="str">
        <f aca="false">TRIM(A8)</f>
        <v>Monitor 4K UHD</v>
      </c>
      <c r="F8" s="14" t="str">
        <f aca="false">SUBSTITUTE(TRIM(A8)," ","_")</f>
        <v>Monitor_4K_UHD</v>
      </c>
    </row>
    <row r="9" customFormat="false" ht="15" hidden="false" customHeight="true" outlineLevel="0" collapsed="false">
      <c r="A9" s="13" t="s">
        <v>179</v>
      </c>
      <c r="B9" s="14" t="str">
        <f aca="false">UPPER(TRIM(A9))</f>
        <v>STANDING DESK PRO</v>
      </c>
      <c r="C9" s="14" t="str">
        <f aca="false">PROPER(TRIM(A9))</f>
        <v>Standing Desk Pro</v>
      </c>
      <c r="D9" s="14" t="n">
        <f aca="false">LEN(TRIM(A9))</f>
        <v>17</v>
      </c>
      <c r="E9" s="14" t="str">
        <f aca="false">TRIM(A9)</f>
        <v>standing desk PRO</v>
      </c>
      <c r="F9" s="14" t="str">
        <f aca="false">SUBSTITUTE(TRIM(A9)," ","_")</f>
        <v>standing_desk_PRO</v>
      </c>
    </row>
    <row r="11" customFormat="false" ht="15" hidden="false" customHeight="true" outlineLevel="0" collapsed="false">
      <c r="A11" s="16" t="s">
        <v>180</v>
      </c>
      <c r="B11" s="16"/>
      <c r="C11" s="16"/>
      <c r="D11" s="16"/>
      <c r="E11" s="16"/>
      <c r="F11" s="16"/>
    </row>
    <row r="12" customFormat="false" ht="15" hidden="false" customHeight="true" outlineLevel="0" collapsed="false">
      <c r="A12" s="12" t="s">
        <v>181</v>
      </c>
      <c r="B12" s="12" t="s">
        <v>182</v>
      </c>
      <c r="C12" s="12" t="s">
        <v>183</v>
      </c>
      <c r="D12" s="12" t="s">
        <v>184</v>
      </c>
      <c r="E12" s="12" t="s">
        <v>185</v>
      </c>
      <c r="F12" s="12" t="s">
        <v>186</v>
      </c>
    </row>
    <row r="13" customFormat="false" ht="15" hidden="false" customHeight="true" outlineLevel="0" collapsed="false">
      <c r="A13" s="13" t="s">
        <v>187</v>
      </c>
      <c r="B13" s="14" t="str">
        <f aca="false">LEFT(A13,FIND(" ",A13)-1)</f>
        <v>Alice</v>
      </c>
      <c r="C13" s="14" t="str">
        <f aca="false">MID(A13,FIND(" ",A13)+1,LEN(A13))</f>
        <v>Johnson</v>
      </c>
      <c r="D13" s="14" t="str">
        <f aca="false">LOWER(LEFT(A13,FIND(" ",A13)-1))&amp;"."&amp;LOWER(MID(A13,FIND(" ",A13)+1,LEN(A13)))&amp;"@company.com"</f>
        <v>alice.johnson@company.com</v>
      </c>
      <c r="E13" s="14" t="str">
        <f aca="false">"EMP-"&amp;TEXT(ROW()-12,"000")</f>
        <v>EMP-001</v>
      </c>
      <c r="F13" s="14" t="n">
        <f aca="false">VALUE(MID("EMP-"&amp;TEXT(ROW()-12,"000"),5,3))</f>
        <v>1</v>
      </c>
    </row>
    <row r="14" customFormat="false" ht="15" hidden="false" customHeight="true" outlineLevel="0" collapsed="false">
      <c r="A14" s="13" t="s">
        <v>188</v>
      </c>
      <c r="B14" s="14" t="str">
        <f aca="false">LEFT(A14,FIND(" ",A14)-1)</f>
        <v>Bob</v>
      </c>
      <c r="C14" s="14" t="str">
        <f aca="false">MID(A14,FIND(" ",A14)+1,LEN(A14))</f>
        <v>Martinez</v>
      </c>
      <c r="D14" s="14" t="str">
        <f aca="false">LOWER(LEFT(A14,FIND(" ",A14)-1))&amp;"."&amp;LOWER(MID(A14,FIND(" ",A14)+1,LEN(A14)))&amp;"@company.com"</f>
        <v>bob.martinez@company.com</v>
      </c>
      <c r="E14" s="14" t="str">
        <f aca="false">"EMP-"&amp;TEXT(ROW()-12,"000")</f>
        <v>EMP-002</v>
      </c>
      <c r="F14" s="14" t="n">
        <f aca="false">VALUE(MID("EMP-"&amp;TEXT(ROW()-12,"000"),5,3))</f>
        <v>2</v>
      </c>
    </row>
    <row r="15" customFormat="false" ht="15" hidden="false" customHeight="true" outlineLevel="0" collapsed="false">
      <c r="A15" s="13" t="s">
        <v>189</v>
      </c>
      <c r="B15" s="14" t="str">
        <f aca="false">LEFT(A15,FIND(" ",A15)-1)</f>
        <v>Carol</v>
      </c>
      <c r="C15" s="14" t="str">
        <f aca="false">MID(A15,FIND(" ",A15)+1,LEN(A15))</f>
        <v>White</v>
      </c>
      <c r="D15" s="14" t="str">
        <f aca="false">LOWER(LEFT(A15,FIND(" ",A15)-1))&amp;"."&amp;LOWER(MID(A15,FIND(" ",A15)+1,LEN(A15)))&amp;"@company.com"</f>
        <v>carol.white@company.com</v>
      </c>
      <c r="E15" s="14" t="str">
        <f aca="false">"EMP-"&amp;TEXT(ROW()-12,"000")</f>
        <v>EMP-003</v>
      </c>
      <c r="F15" s="14" t="n">
        <f aca="false">VALUE(MID("EMP-"&amp;TEXT(ROW()-12,"000"),5,3))</f>
        <v>3</v>
      </c>
    </row>
    <row r="16" customFormat="false" ht="15" hidden="false" customHeight="true" outlineLevel="0" collapsed="false">
      <c r="A16" s="13" t="s">
        <v>190</v>
      </c>
      <c r="B16" s="14" t="str">
        <f aca="false">LEFT(A16,FIND(" ",A16)-1)</f>
        <v>David</v>
      </c>
      <c r="C16" s="14" t="str">
        <f aca="false">MID(A16,FIND(" ",A16)+1,LEN(A16))</f>
        <v>Kim</v>
      </c>
      <c r="D16" s="14" t="str">
        <f aca="false">LOWER(LEFT(A16,FIND(" ",A16)-1))&amp;"."&amp;LOWER(MID(A16,FIND(" ",A16)+1,LEN(A16)))&amp;"@company.com"</f>
        <v>david.kim@company.com</v>
      </c>
      <c r="E16" s="14" t="str">
        <f aca="false">"EMP-"&amp;TEXT(ROW()-12,"000")</f>
        <v>EMP-004</v>
      </c>
      <c r="F16" s="14" t="n">
        <f aca="false">VALUE(MID("EMP-"&amp;TEXT(ROW()-12,"000"),5,3))</f>
        <v>4</v>
      </c>
    </row>
    <row r="17" customFormat="false" ht="15" hidden="false" customHeight="true" outlineLevel="0" collapsed="false">
      <c r="A17" s="13" t="s">
        <v>191</v>
      </c>
      <c r="B17" s="14" t="str">
        <f aca="false">LEFT(A17,FIND(" ",A17)-1)</f>
        <v>Eve</v>
      </c>
      <c r="C17" s="14" t="str">
        <f aca="false">MID(A17,FIND(" ",A17)+1,LEN(A17))</f>
        <v>Thompson</v>
      </c>
      <c r="D17" s="14" t="str">
        <f aca="false">LOWER(LEFT(A17,FIND(" ",A17)-1))&amp;"."&amp;LOWER(MID(A17,FIND(" ",A17)+1,LEN(A17)))&amp;"@company.com"</f>
        <v>eve.thompson@company.com</v>
      </c>
      <c r="E17" s="14" t="str">
        <f aca="false">"EMP-"&amp;TEXT(ROW()-12,"000")</f>
        <v>EMP-005</v>
      </c>
      <c r="F17" s="14" t="n">
        <f aca="false">VALUE(MID("EMP-"&amp;TEXT(ROW()-12,"000"),5,3))</f>
        <v>5</v>
      </c>
    </row>
    <row r="20" customFormat="false" ht="15" hidden="false" customHeight="true" outlineLevel="0" collapsed="false">
      <c r="A20" s="18" t="s">
        <v>192</v>
      </c>
      <c r="B20" s="18"/>
      <c r="C20" s="18"/>
      <c r="D20" s="18"/>
      <c r="E20" s="18"/>
      <c r="F20" s="18"/>
    </row>
    <row r="21" customFormat="false" ht="15" hidden="false" customHeight="true" outlineLevel="0" collapsed="false">
      <c r="A21" s="13" t="s">
        <v>193</v>
      </c>
      <c r="B21" s="13" t="n">
        <v>125000</v>
      </c>
    </row>
    <row r="22" customFormat="false" ht="15" hidden="false" customHeight="true" outlineLevel="0" collapsed="false">
      <c r="A22" s="13" t="s">
        <v>194</v>
      </c>
      <c r="B22" s="14" t="str">
        <f aca="false">TEXT(B21,"$#,##0.00")</f>
        <v>$125,000.00</v>
      </c>
    </row>
    <row r="23" customFormat="false" ht="15" hidden="false" customHeight="true" outlineLevel="0" collapsed="false">
      <c r="A23" s="13" t="s">
        <v>195</v>
      </c>
      <c r="B23" s="19" t="s">
        <v>131</v>
      </c>
      <c r="C23" s="14" t="str">
        <f aca="false">TEXT(B23,"DD MMMM YYYY")</f>
        <v>31 December 2024</v>
      </c>
    </row>
    <row r="24" customFormat="false" ht="15" hidden="false" customHeight="true" outlineLevel="0" collapsed="false">
      <c r="A24" s="13" t="s">
        <v>196</v>
      </c>
      <c r="B24" s="14" t="str">
        <f aca="false">"Revenue is "&amp;IF(B21&gt;100000,"HIGH: ","LOW: ")&amp;TEXT(B21,"$#,##0")</f>
        <v>Revenue is HIGH: $125,000</v>
      </c>
    </row>
    <row r="25" customFormat="false" ht="15" hidden="false" customHeight="true" outlineLevel="0" collapsed="false">
      <c r="A25" s="13" t="s">
        <v>197</v>
      </c>
      <c r="B25" s="14" t="str">
        <f aca="false">REPT("█",INT(B21/10000))</f>
        <v>████████████</v>
      </c>
    </row>
    <row r="26" customFormat="false" ht="15" hidden="false" customHeight="true" outlineLevel="0" collapsed="false">
      <c r="A26" s="13" t="s">
        <v>198</v>
      </c>
      <c r="B26" s="14" t="str">
        <f aca="false">SUMPRODUCT((Sales_Data!C3:C34="North")*1)&amp;" North transactions"</f>
        <v>9 North transactions</v>
      </c>
    </row>
  </sheetData>
  <mergeCells count="4">
    <mergeCell ref="A1:F1"/>
    <mergeCell ref="A3:F3"/>
    <mergeCell ref="A11:F11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8"/>
  </cols>
  <sheetData>
    <row r="1" customFormat="false" ht="15" hidden="false" customHeight="true" outlineLevel="0" collapsed="false">
      <c r="A1" s="2" t="s">
        <v>199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" t="s">
        <v>200</v>
      </c>
      <c r="B3" s="2"/>
      <c r="C3" s="2"/>
      <c r="D3" s="2"/>
    </row>
    <row r="4" customFormat="false" ht="15" hidden="false" customHeight="true" outlineLevel="0" collapsed="false">
      <c r="A4" s="13" t="s">
        <v>201</v>
      </c>
    </row>
    <row r="5" customFormat="false" ht="15" hidden="false" customHeight="true" outlineLevel="0" collapsed="false">
      <c r="A5" s="13" t="s">
        <v>202</v>
      </c>
      <c r="B5" s="21" t="n">
        <v>500000</v>
      </c>
    </row>
    <row r="6" customFormat="false" ht="15" hidden="false" customHeight="true" outlineLevel="0" collapsed="false">
      <c r="A6" s="13" t="s">
        <v>203</v>
      </c>
      <c r="B6" s="23" t="n">
        <v>0.065</v>
      </c>
    </row>
    <row r="7" customFormat="false" ht="15" hidden="false" customHeight="true" outlineLevel="0" collapsed="false">
      <c r="A7" s="13" t="s">
        <v>204</v>
      </c>
      <c r="B7" s="21" t="n">
        <v>30</v>
      </c>
    </row>
    <row r="8" customFormat="false" ht="15" hidden="false" customHeight="true" outlineLevel="0" collapsed="false">
      <c r="A8" s="13" t="s">
        <v>205</v>
      </c>
      <c r="B8" s="21" t="n">
        <v>12</v>
      </c>
    </row>
    <row r="10" customFormat="false" ht="15" hidden="false" customHeight="true" outlineLevel="0" collapsed="false">
      <c r="A10" s="13" t="s">
        <v>206</v>
      </c>
    </row>
    <row r="11" customFormat="false" ht="15" hidden="false" customHeight="true" outlineLevel="0" collapsed="false">
      <c r="A11" s="14" t="s">
        <v>207</v>
      </c>
      <c r="B11" s="24" t="n">
        <f aca="false">PMT(B6/B8,B7*B8,-B5)</f>
        <v>3160.34011746482</v>
      </c>
    </row>
    <row r="12" customFormat="false" ht="15" hidden="false" customHeight="true" outlineLevel="0" collapsed="false">
      <c r="A12" s="14" t="s">
        <v>208</v>
      </c>
      <c r="B12" s="24" t="n">
        <f aca="false">B11*B7*B8</f>
        <v>1137722.44228734</v>
      </c>
    </row>
    <row r="13" customFormat="false" ht="15" hidden="false" customHeight="true" outlineLevel="0" collapsed="false">
      <c r="A13" s="14" t="s">
        <v>209</v>
      </c>
      <c r="B13" s="24" t="n">
        <f aca="false">B12-B5</f>
        <v>637722.442287335</v>
      </c>
    </row>
    <row r="14" customFormat="false" ht="15" hidden="false" customHeight="true" outlineLevel="0" collapsed="false">
      <c r="A14" s="14" t="s">
        <v>210</v>
      </c>
      <c r="B14" s="17" t="n">
        <f aca="false">B13/B12</f>
        <v>0.560525501285907</v>
      </c>
    </row>
    <row r="16" customFormat="false" ht="15" hidden="false" customHeight="true" outlineLevel="0" collapsed="false">
      <c r="A16" s="16" t="s">
        <v>211</v>
      </c>
      <c r="B16" s="16"/>
      <c r="C16" s="16"/>
      <c r="D16" s="16"/>
      <c r="E16" s="16"/>
      <c r="F16" s="16"/>
    </row>
    <row r="17" customFormat="false" ht="15" hidden="false" customHeight="true" outlineLevel="0" collapsed="false">
      <c r="A17" s="12" t="s">
        <v>115</v>
      </c>
      <c r="B17" s="12" t="s">
        <v>212</v>
      </c>
      <c r="C17" s="12" t="s">
        <v>207</v>
      </c>
      <c r="D17" s="12" t="s">
        <v>213</v>
      </c>
      <c r="E17" s="12" t="s">
        <v>214</v>
      </c>
      <c r="F17" s="12" t="s">
        <v>215</v>
      </c>
    </row>
    <row r="18" customFormat="false" ht="15" hidden="false" customHeight="true" outlineLevel="0" collapsed="false">
      <c r="A18" s="1" t="n">
        <v>1</v>
      </c>
      <c r="B18" s="24" t="n">
        <f aca="false">B5</f>
        <v>500000</v>
      </c>
      <c r="C18" s="24" t="n">
        <f aca="false">B11</f>
        <v>3160.34011746482</v>
      </c>
      <c r="D18" s="24" t="n">
        <f aca="false">B18*B6/B8</f>
        <v>2708.33333333333</v>
      </c>
      <c r="E18" s="24" t="n">
        <f aca="false">C18-D18</f>
        <v>452.006784131486</v>
      </c>
      <c r="F18" s="24" t="n">
        <f aca="false">B18-E18</f>
        <v>499547.993215869</v>
      </c>
    </row>
    <row r="19" customFormat="false" ht="15" hidden="false" customHeight="true" outlineLevel="0" collapsed="false">
      <c r="A19" s="1" t="n">
        <v>2</v>
      </c>
      <c r="B19" s="24" t="n">
        <f aca="false">F18</f>
        <v>499547.993215869</v>
      </c>
      <c r="C19" s="24" t="n">
        <f aca="false">B11</f>
        <v>3160.34011746482</v>
      </c>
      <c r="D19" s="24" t="n">
        <f aca="false">B19*B6/B8</f>
        <v>2705.88496325262</v>
      </c>
      <c r="E19" s="24" t="n">
        <f aca="false">C19-D19</f>
        <v>454.455154212198</v>
      </c>
      <c r="F19" s="24" t="n">
        <f aca="false">B19-E19</f>
        <v>499093.538061656</v>
      </c>
    </row>
    <row r="20" customFormat="false" ht="15" hidden="false" customHeight="true" outlineLevel="0" collapsed="false">
      <c r="A20" s="1" t="n">
        <v>3</v>
      </c>
      <c r="B20" s="24" t="n">
        <f aca="false">F19</f>
        <v>499093.538061656</v>
      </c>
      <c r="C20" s="24" t="n">
        <f aca="false">B11</f>
        <v>3160.34011746482</v>
      </c>
      <c r="D20" s="24" t="n">
        <f aca="false">B20*B6/B8</f>
        <v>2703.42333116731</v>
      </c>
      <c r="E20" s="24" t="n">
        <f aca="false">C20-D20</f>
        <v>456.916786297514</v>
      </c>
      <c r="F20" s="24" t="n">
        <f aca="false">B20-E20</f>
        <v>498636.621275359</v>
      </c>
    </row>
    <row r="21" customFormat="false" ht="15" hidden="false" customHeight="true" outlineLevel="0" collapsed="false">
      <c r="A21" s="1" t="n">
        <v>4</v>
      </c>
      <c r="B21" s="24" t="n">
        <f aca="false">F20</f>
        <v>498636.621275359</v>
      </c>
      <c r="C21" s="24" t="n">
        <f aca="false">B11</f>
        <v>3160.34011746482</v>
      </c>
      <c r="D21" s="24" t="n">
        <f aca="false">B21*B6/B8</f>
        <v>2700.94836524153</v>
      </c>
      <c r="E21" s="24" t="n">
        <f aca="false">C21-D21</f>
        <v>459.391752223292</v>
      </c>
      <c r="F21" s="24" t="n">
        <f aca="false">B21-E21</f>
        <v>498177.229523136</v>
      </c>
    </row>
    <row r="22" customFormat="false" ht="15" hidden="false" customHeight="true" outlineLevel="0" collapsed="false">
      <c r="A22" s="1" t="n">
        <v>5</v>
      </c>
      <c r="B22" s="24" t="n">
        <f aca="false">F21</f>
        <v>498177.229523136</v>
      </c>
      <c r="C22" s="24" t="n">
        <f aca="false">B11</f>
        <v>3160.34011746482</v>
      </c>
      <c r="D22" s="24" t="n">
        <f aca="false">B22*B6/B8</f>
        <v>2698.45999325032</v>
      </c>
      <c r="E22" s="24" t="n">
        <f aca="false">C22-D22</f>
        <v>461.880124214502</v>
      </c>
      <c r="F22" s="24" t="n">
        <f aca="false">B22-E22</f>
        <v>497715.349398921</v>
      </c>
    </row>
    <row r="23" customFormat="false" ht="15" hidden="false" customHeight="true" outlineLevel="0" collapsed="false">
      <c r="A23" s="1" t="n">
        <v>6</v>
      </c>
      <c r="B23" s="24" t="n">
        <f aca="false">F22</f>
        <v>497715.349398921</v>
      </c>
      <c r="C23" s="24" t="n">
        <f aca="false">B11</f>
        <v>3160.34011746482</v>
      </c>
      <c r="D23" s="24" t="n">
        <f aca="false">B23*B6/B8</f>
        <v>2695.95814257749</v>
      </c>
      <c r="E23" s="24" t="n">
        <f aca="false">C23-D23</f>
        <v>464.38197488733</v>
      </c>
      <c r="F23" s="24" t="n">
        <f aca="false">B23-E23</f>
        <v>497250.967424034</v>
      </c>
    </row>
    <row r="24" customFormat="false" ht="15" hidden="false" customHeight="true" outlineLevel="0" collapsed="false">
      <c r="A24" s="1" t="n">
        <v>7</v>
      </c>
      <c r="B24" s="24" t="n">
        <f aca="false">F23</f>
        <v>497250.967424034</v>
      </c>
      <c r="C24" s="24" t="n">
        <f aca="false">B11</f>
        <v>3160.34011746482</v>
      </c>
      <c r="D24" s="24" t="n">
        <f aca="false">B24*B6/B8</f>
        <v>2693.44274021352</v>
      </c>
      <c r="E24" s="24" t="n">
        <f aca="false">C24-D24</f>
        <v>466.897377251304</v>
      </c>
      <c r="F24" s="24" t="n">
        <f aca="false">B24-E24</f>
        <v>496784.070046782</v>
      </c>
    </row>
    <row r="25" customFormat="false" ht="15" hidden="false" customHeight="true" outlineLevel="0" collapsed="false">
      <c r="A25" s="1" t="n">
        <v>8</v>
      </c>
      <c r="B25" s="24" t="n">
        <f aca="false">F24</f>
        <v>496784.070046782</v>
      </c>
      <c r="C25" s="24" t="n">
        <f aca="false">B11</f>
        <v>3160.34011746482</v>
      </c>
      <c r="D25" s="24" t="n">
        <f aca="false">B25*B6/B8</f>
        <v>2690.9137127534</v>
      </c>
      <c r="E25" s="24" t="n">
        <f aca="false">C25-D25</f>
        <v>469.426404711415</v>
      </c>
      <c r="F25" s="24" t="n">
        <f aca="false">B25-E25</f>
        <v>496314.643642071</v>
      </c>
    </row>
    <row r="26" customFormat="false" ht="15" hidden="false" customHeight="true" outlineLevel="0" collapsed="false">
      <c r="A26" s="1" t="n">
        <v>9</v>
      </c>
      <c r="B26" s="24" t="n">
        <f aca="false">F25</f>
        <v>496314.643642071</v>
      </c>
      <c r="C26" s="24" t="n">
        <f aca="false">B11</f>
        <v>3160.34011746482</v>
      </c>
      <c r="D26" s="24" t="n">
        <f aca="false">B26*B6/B8</f>
        <v>2688.37098639455</v>
      </c>
      <c r="E26" s="24" t="n">
        <f aca="false">C26-D26</f>
        <v>471.969131070268</v>
      </c>
      <c r="F26" s="24" t="n">
        <f aca="false">B26-E26</f>
        <v>495842.674511001</v>
      </c>
    </row>
    <row r="27" customFormat="false" ht="15" hidden="false" customHeight="true" outlineLevel="0" collapsed="false">
      <c r="A27" s="1" t="n">
        <v>10</v>
      </c>
      <c r="B27" s="24" t="n">
        <f aca="false">F26</f>
        <v>495842.674511001</v>
      </c>
      <c r="C27" s="24" t="n">
        <f aca="false">B11</f>
        <v>3160.34011746482</v>
      </c>
      <c r="D27" s="24" t="n">
        <f aca="false">B27*B6/B8</f>
        <v>2685.81448693459</v>
      </c>
      <c r="E27" s="24" t="n">
        <f aca="false">C27-D27</f>
        <v>474.525630530232</v>
      </c>
      <c r="F27" s="24" t="n">
        <f aca="false">B27-E27</f>
        <v>495368.14888047</v>
      </c>
    </row>
    <row r="28" customFormat="false" ht="15" hidden="false" customHeight="true" outlineLevel="0" collapsed="false">
      <c r="A28" s="1" t="n">
        <v>11</v>
      </c>
      <c r="B28" s="24" t="n">
        <f aca="false">F27</f>
        <v>495368.14888047</v>
      </c>
      <c r="C28" s="24" t="n">
        <f aca="false">B11</f>
        <v>3160.34011746482</v>
      </c>
      <c r="D28" s="24" t="n">
        <f aca="false">B28*B6/B8</f>
        <v>2683.24413976922</v>
      </c>
      <c r="E28" s="24" t="n">
        <f aca="false">C28-D28</f>
        <v>477.095977695604</v>
      </c>
      <c r="F28" s="24" t="n">
        <f aca="false">B28-E28</f>
        <v>494891.052902775</v>
      </c>
    </row>
    <row r="29" customFormat="false" ht="15" hidden="false" customHeight="true" outlineLevel="0" collapsed="false">
      <c r="A29" s="1" t="n">
        <v>12</v>
      </c>
      <c r="B29" s="24" t="n">
        <f aca="false">F28</f>
        <v>494891.052902775</v>
      </c>
      <c r="C29" s="24" t="n">
        <f aca="false">B11</f>
        <v>3160.34011746482</v>
      </c>
      <c r="D29" s="24" t="n">
        <f aca="false">B29*B6/B8</f>
        <v>2680.65986989003</v>
      </c>
      <c r="E29" s="24" t="n">
        <f aca="false">C29-D29</f>
        <v>479.680247574789</v>
      </c>
      <c r="F29" s="24" t="n">
        <f aca="false">B29-E29</f>
        <v>494411.3726552</v>
      </c>
    </row>
    <row r="32" customFormat="false" ht="15" hidden="false" customHeight="true" outlineLevel="0" collapsed="false">
      <c r="A32" s="18" t="s">
        <v>216</v>
      </c>
      <c r="B32" s="18"/>
      <c r="C32" s="18"/>
      <c r="D32" s="18"/>
      <c r="E32" s="18"/>
      <c r="F32" s="18"/>
      <c r="G32" s="18"/>
      <c r="H32" s="18"/>
    </row>
    <row r="33" customFormat="false" ht="15" hidden="false" customHeight="true" outlineLevel="0" collapsed="false">
      <c r="A33" s="13" t="s">
        <v>217</v>
      </c>
      <c r="B33" s="25" t="n">
        <v>0.1</v>
      </c>
    </row>
    <row r="34" customFormat="false" ht="15" hidden="false" customHeight="true" outlineLevel="0" collapsed="false">
      <c r="A34" s="12" t="s">
        <v>114</v>
      </c>
      <c r="B34" s="12" t="s">
        <v>218</v>
      </c>
    </row>
    <row r="35" customFormat="false" ht="15" hidden="false" customHeight="true" outlineLevel="0" collapsed="false">
      <c r="A35" s="13" t="s">
        <v>219</v>
      </c>
      <c r="B35" s="21" t="n">
        <v>-200000</v>
      </c>
    </row>
    <row r="36" customFormat="false" ht="15" hidden="false" customHeight="true" outlineLevel="0" collapsed="false">
      <c r="A36" s="13" t="s">
        <v>220</v>
      </c>
      <c r="B36" s="21" t="n">
        <v>35000</v>
      </c>
    </row>
    <row r="37" customFormat="false" ht="15" hidden="false" customHeight="true" outlineLevel="0" collapsed="false">
      <c r="A37" s="13" t="s">
        <v>221</v>
      </c>
      <c r="B37" s="21" t="n">
        <v>50000</v>
      </c>
    </row>
    <row r="38" customFormat="false" ht="15" hidden="false" customHeight="true" outlineLevel="0" collapsed="false">
      <c r="A38" s="13" t="s">
        <v>222</v>
      </c>
      <c r="B38" s="21" t="n">
        <v>65000</v>
      </c>
    </row>
    <row r="39" customFormat="false" ht="15" hidden="false" customHeight="true" outlineLevel="0" collapsed="false">
      <c r="A39" s="13" t="s">
        <v>223</v>
      </c>
      <c r="B39" s="21" t="n">
        <v>80000</v>
      </c>
    </row>
    <row r="40" customFormat="false" ht="15" hidden="false" customHeight="true" outlineLevel="0" collapsed="false">
      <c r="A40" s="13" t="s">
        <v>224</v>
      </c>
      <c r="B40" s="21" t="n">
        <v>95000</v>
      </c>
    </row>
    <row r="41" customFormat="false" ht="15" hidden="false" customHeight="true" outlineLevel="0" collapsed="false">
      <c r="A41" s="13" t="s">
        <v>225</v>
      </c>
      <c r="B41" s="21" t="n">
        <v>110000</v>
      </c>
    </row>
    <row r="43" customFormat="false" ht="15" hidden="false" customHeight="true" outlineLevel="0" collapsed="false">
      <c r="A43" s="14" t="s">
        <v>226</v>
      </c>
      <c r="B43" s="24" t="n">
        <f aca="false">NPV(B33,B36:B41)+B35</f>
        <v>97696.692352112</v>
      </c>
    </row>
    <row r="44" customFormat="false" ht="15" hidden="false" customHeight="true" outlineLevel="0" collapsed="false">
      <c r="A44" s="14" t="s">
        <v>227</v>
      </c>
      <c r="B44" s="17" t="n">
        <f aca="false">IRR(B35:B41)</f>
        <v>0.224598060758163</v>
      </c>
    </row>
    <row r="45" customFormat="false" ht="15" hidden="false" customHeight="true" outlineLevel="0" collapsed="false">
      <c r="A45" s="14" t="s">
        <v>228</v>
      </c>
      <c r="B45" s="14" t="str">
        <f aca="true">IFERROR(MATCH(TRUE(),MMULT((ROW(INDIRECT("1:"&amp;ROWS(B35:B41)))&gt;0)*1,B35:B41)&gt;=0,0),"N/A")</f>
        <v>N/A</v>
      </c>
    </row>
    <row r="47" customFormat="false" ht="15" hidden="false" customHeight="true" outlineLevel="0" collapsed="false">
      <c r="A47" s="26" t="s">
        <v>229</v>
      </c>
      <c r="B47" s="26"/>
      <c r="C47" s="26"/>
      <c r="D47" s="26"/>
      <c r="E47" s="26"/>
      <c r="F47" s="26"/>
      <c r="G47" s="26"/>
      <c r="H47" s="26"/>
    </row>
    <row r="48" customFormat="false" ht="15" hidden="false" customHeight="true" outlineLevel="0" collapsed="false">
      <c r="A48" s="13" t="s">
        <v>230</v>
      </c>
      <c r="B48" s="21" t="n">
        <v>50000</v>
      </c>
    </row>
    <row r="49" customFormat="false" ht="15" hidden="false" customHeight="true" outlineLevel="0" collapsed="false">
      <c r="A49" s="13" t="s">
        <v>231</v>
      </c>
      <c r="B49" s="21" t="n">
        <v>5000</v>
      </c>
    </row>
    <row r="50" customFormat="false" ht="15" hidden="false" customHeight="true" outlineLevel="0" collapsed="false">
      <c r="A50" s="13" t="s">
        <v>232</v>
      </c>
      <c r="B50" s="13" t="n">
        <v>5</v>
      </c>
    </row>
    <row r="52" customFormat="false" ht="15" hidden="false" customHeight="true" outlineLevel="0" collapsed="false">
      <c r="A52" s="12" t="s">
        <v>114</v>
      </c>
      <c r="B52" s="12" t="s">
        <v>233</v>
      </c>
      <c r="C52" s="12" t="s">
        <v>234</v>
      </c>
      <c r="D52" s="12" t="s">
        <v>235</v>
      </c>
    </row>
    <row r="53" customFormat="false" ht="15" hidden="false" customHeight="true" outlineLevel="0" collapsed="false">
      <c r="A53" s="13" t="s">
        <v>220</v>
      </c>
      <c r="B53" s="15" t="n">
        <f aca="false">SLN($B$48,$B$49,$B$50)</f>
        <v>9000</v>
      </c>
      <c r="C53" s="15" t="n">
        <f aca="false">DDB($B$48,$B$49,$B$50,1)</f>
        <v>20000</v>
      </c>
      <c r="D53" s="15" t="n">
        <f aca="false">SYD($B$48,$B$49,$B$50,1)</f>
        <v>15000</v>
      </c>
    </row>
    <row r="54" customFormat="false" ht="15" hidden="false" customHeight="true" outlineLevel="0" collapsed="false">
      <c r="A54" s="13" t="s">
        <v>221</v>
      </c>
      <c r="B54" s="15" t="n">
        <f aca="false">SLN($B$48,$B$49,$B$50)</f>
        <v>9000</v>
      </c>
      <c r="C54" s="15" t="n">
        <f aca="false">DDB($B$48,$B$49,$B$50,2)</f>
        <v>12000</v>
      </c>
      <c r="D54" s="15" t="n">
        <f aca="false">SYD($B$48,$B$49,$B$50,2)</f>
        <v>12000</v>
      </c>
    </row>
    <row r="55" customFormat="false" ht="15" hidden="false" customHeight="true" outlineLevel="0" collapsed="false">
      <c r="A55" s="13" t="s">
        <v>222</v>
      </c>
      <c r="B55" s="15" t="n">
        <f aca="false">SLN($B$48,$B$49,$B$50)</f>
        <v>9000</v>
      </c>
      <c r="C55" s="15" t="n">
        <f aca="false">DDB($B$48,$B$49,$B$50,3)</f>
        <v>7200</v>
      </c>
      <c r="D55" s="15" t="n">
        <f aca="false">SYD($B$48,$B$49,$B$50,3)</f>
        <v>9000</v>
      </c>
    </row>
    <row r="56" customFormat="false" ht="15" hidden="false" customHeight="true" outlineLevel="0" collapsed="false">
      <c r="A56" s="13" t="s">
        <v>223</v>
      </c>
      <c r="B56" s="15" t="n">
        <f aca="false">SLN($B$48,$B$49,$B$50)</f>
        <v>9000</v>
      </c>
      <c r="C56" s="15" t="n">
        <f aca="false">DDB($B$48,$B$49,$B$50,4)</f>
        <v>4320</v>
      </c>
      <c r="D56" s="15" t="n">
        <f aca="false">SYD($B$48,$B$49,$B$50,4)</f>
        <v>6000</v>
      </c>
    </row>
    <row r="57" customFormat="false" ht="15" hidden="false" customHeight="true" outlineLevel="0" collapsed="false">
      <c r="A57" s="13" t="s">
        <v>224</v>
      </c>
      <c r="B57" s="15" t="n">
        <f aca="false">SLN($B$48,$B$49,$B$50)</f>
        <v>9000</v>
      </c>
      <c r="C57" s="15" t="n">
        <f aca="false">DDB($B$48,$B$49,$B$50,5)</f>
        <v>1480</v>
      </c>
      <c r="D57" s="15" t="n">
        <f aca="false">SYD($B$48,$B$49,$B$50,5)</f>
        <v>3000</v>
      </c>
    </row>
  </sheetData>
  <mergeCells count="5">
    <mergeCell ref="A1:H1"/>
    <mergeCell ref="A3:D3"/>
    <mergeCell ref="A16:F16"/>
    <mergeCell ref="A32:H32"/>
    <mergeCell ref="A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0"/>
    <col collapsed="false" customWidth="true" hidden="false" outlineLevel="0" max="4" min="3" style="1" width="22"/>
    <col collapsed="false" customWidth="true" hidden="false" outlineLevel="0" max="6" min="5" style="1" width="28"/>
  </cols>
  <sheetData>
    <row r="1" customFormat="false" ht="15" hidden="false" customHeight="true" outlineLevel="0" collapsed="false">
      <c r="A1" s="2" t="s">
        <v>236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2" t="s">
        <v>237</v>
      </c>
      <c r="B3" s="2"/>
      <c r="C3" s="2"/>
      <c r="D3" s="2"/>
      <c r="E3" s="2"/>
      <c r="F3" s="2"/>
    </row>
    <row r="4" customFormat="false" ht="15" hidden="false" customHeight="true" outlineLevel="0" collapsed="false">
      <c r="A4" s="12" t="s">
        <v>238</v>
      </c>
      <c r="B4" s="12" t="s">
        <v>239</v>
      </c>
      <c r="C4" s="12" t="s">
        <v>240</v>
      </c>
      <c r="D4" s="12" t="s">
        <v>241</v>
      </c>
      <c r="E4" s="12" t="s">
        <v>242</v>
      </c>
    </row>
    <row r="5" customFormat="false" ht="15" hidden="false" customHeight="true" outlineLevel="0" collapsed="false">
      <c r="A5" s="13" t="n">
        <v>95</v>
      </c>
      <c r="B5" s="14" t="str">
        <f aca="false">IF(A5&gt;=90,"A",IF(A5&gt;=80,"B",IF(A5&gt;=70,"C",IF(A5&gt;=60,"D","F"))))</f>
        <v>A</v>
      </c>
      <c r="C5" s="14" t="str">
        <f aca="false">IF(A5&gt;=90,"Excellent",IF(A5&gt;=80,"Good",IF(A5&gt;=70,"Average",IF(A5&gt;=60,"Below Avg","Poor"))))</f>
        <v>Excellent</v>
      </c>
      <c r="D5" s="14" t="str">
        <f aca="false">CHOOSE(MATCH(A5,{0,60,70,80,90},1),"Bottom","Bronze","Silver","Gold","Platinum")</f>
        <v>Platinum</v>
      </c>
      <c r="E5" s="27" t="n">
        <f aca="false">IF(A5&gt;=90,0.2,IF(A5&gt;=80,0.15,IF(A5&gt;=70,0.1,0)))</f>
        <v>0.2</v>
      </c>
    </row>
    <row r="6" customFormat="false" ht="15" hidden="false" customHeight="true" outlineLevel="0" collapsed="false">
      <c r="A6" s="13" t="n">
        <v>87</v>
      </c>
      <c r="B6" s="14" t="str">
        <f aca="false">IF(A6&gt;=90,"A",IF(A6&gt;=80,"B",IF(A6&gt;=70,"C",IF(A6&gt;=60,"D","F"))))</f>
        <v>B</v>
      </c>
      <c r="C6" s="14" t="str">
        <f aca="false">IF(A6&gt;=90,"Excellent",IF(A6&gt;=80,"Good",IF(A6&gt;=70,"Average",IF(A6&gt;=60,"Below Avg","Poor"))))</f>
        <v>Good</v>
      </c>
      <c r="D6" s="14" t="str">
        <f aca="false">CHOOSE(MATCH(A6,{0,60,70,80,90},1),"Bottom","Bronze","Silver","Gold","Platinum")</f>
        <v>Gold</v>
      </c>
      <c r="E6" s="27" t="n">
        <f aca="false">IF(A6&gt;=90,0.2,IF(A6&gt;=80,0.15,IF(A6&gt;=70,0.1,0)))</f>
        <v>0.15</v>
      </c>
    </row>
    <row r="7" customFormat="false" ht="15" hidden="false" customHeight="true" outlineLevel="0" collapsed="false">
      <c r="A7" s="13" t="n">
        <v>73</v>
      </c>
      <c r="B7" s="14" t="str">
        <f aca="false">IF(A7&gt;=90,"A",IF(A7&gt;=80,"B",IF(A7&gt;=70,"C",IF(A7&gt;=60,"D","F"))))</f>
        <v>C</v>
      </c>
      <c r="C7" s="14" t="str">
        <f aca="false">IF(A7&gt;=90,"Excellent",IF(A7&gt;=80,"Good",IF(A7&gt;=70,"Average",IF(A7&gt;=60,"Below Avg","Poor"))))</f>
        <v>Average</v>
      </c>
      <c r="D7" s="14" t="str">
        <f aca="false">CHOOSE(MATCH(A7,{0,60,70,80,90},1),"Bottom","Bronze","Silver","Gold","Platinum")</f>
        <v>Silver</v>
      </c>
      <c r="E7" s="27" t="n">
        <f aca="false">IF(A7&gt;=90,0.2,IF(A7&gt;=80,0.15,IF(A7&gt;=70,0.1,0)))</f>
        <v>0.1</v>
      </c>
    </row>
    <row r="8" customFormat="false" ht="15" hidden="false" customHeight="true" outlineLevel="0" collapsed="false">
      <c r="A8" s="13" t="n">
        <v>65</v>
      </c>
      <c r="B8" s="14" t="str">
        <f aca="false">IF(A8&gt;=90,"A",IF(A8&gt;=80,"B",IF(A8&gt;=70,"C",IF(A8&gt;=60,"D","F"))))</f>
        <v>D</v>
      </c>
      <c r="C8" s="14" t="str">
        <f aca="false">IF(A8&gt;=90,"Excellent",IF(A8&gt;=80,"Good",IF(A8&gt;=70,"Average",IF(A8&gt;=60,"Below Avg","Poor"))))</f>
        <v>Below Avg</v>
      </c>
      <c r="D8" s="14" t="str">
        <f aca="false">CHOOSE(MATCH(A8,{0,60,70,80,90},1),"Bottom","Bronze","Silver","Gold","Platinum")</f>
        <v>Bronze</v>
      </c>
      <c r="E8" s="27" t="n">
        <f aca="false">IF(A8&gt;=90,0.2,IF(A8&gt;=80,0.15,IF(A8&gt;=70,0.1,0)))</f>
        <v>0</v>
      </c>
    </row>
    <row r="9" customFormat="false" ht="15" hidden="false" customHeight="true" outlineLevel="0" collapsed="false">
      <c r="A9" s="13" t="n">
        <v>58</v>
      </c>
      <c r="B9" s="14" t="str">
        <f aca="false">IF(A9&gt;=90,"A",IF(A9&gt;=80,"B",IF(A9&gt;=70,"C",IF(A9&gt;=60,"D","F"))))</f>
        <v>F</v>
      </c>
      <c r="C9" s="14" t="str">
        <f aca="false">IF(A9&gt;=90,"Excellent",IF(A9&gt;=80,"Good",IF(A9&gt;=70,"Average",IF(A9&gt;=60,"Below Avg","Poor"))))</f>
        <v>Poor</v>
      </c>
      <c r="D9" s="14" t="str">
        <f aca="false">CHOOSE(MATCH(A9,{0,60,70,80,90},1),"Bottom","Bronze","Silver","Gold","Platinum")</f>
        <v>Bottom</v>
      </c>
      <c r="E9" s="27" t="n">
        <f aca="false">IF(A9&gt;=90,0.2,IF(A9&gt;=80,0.15,IF(A9&gt;=70,0.1,0)))</f>
        <v>0</v>
      </c>
    </row>
    <row r="10" customFormat="false" ht="15" hidden="false" customHeight="true" outlineLevel="0" collapsed="false">
      <c r="A10" s="13" t="n">
        <v>42</v>
      </c>
      <c r="B10" s="14" t="str">
        <f aca="false">IF(A10&gt;=90,"A",IF(A10&gt;=80,"B",IF(A10&gt;=70,"C",IF(A10&gt;=60,"D","F"))))</f>
        <v>F</v>
      </c>
      <c r="C10" s="14" t="str">
        <f aca="false">IF(A10&gt;=90,"Excellent",IF(A10&gt;=80,"Good",IF(A10&gt;=70,"Average",IF(A10&gt;=60,"Below Avg","Poor"))))</f>
        <v>Poor</v>
      </c>
      <c r="D10" s="14" t="str">
        <f aca="false">CHOOSE(MATCH(A10,{0,60,70,80,90},1),"Bottom","Bronze","Silver","Gold","Platinum")</f>
        <v>Bottom</v>
      </c>
      <c r="E10" s="27" t="n">
        <f aca="false">IF(A10&gt;=90,0.2,IF(A10&gt;=80,0.15,IF(A10&gt;=70,0.1,0)))</f>
        <v>0</v>
      </c>
    </row>
    <row r="11" customFormat="false" ht="15" hidden="false" customHeight="true" outlineLevel="0" collapsed="false">
      <c r="A11" s="13" t="n">
        <v>30</v>
      </c>
      <c r="B11" s="14" t="str">
        <f aca="false">IF(A11&gt;=90,"A",IF(A11&gt;=80,"B",IF(A11&gt;=70,"C",IF(A11&gt;=60,"D","F"))))</f>
        <v>F</v>
      </c>
      <c r="C11" s="14" t="str">
        <f aca="false">IF(A11&gt;=90,"Excellent",IF(A11&gt;=80,"Good",IF(A11&gt;=70,"Average",IF(A11&gt;=60,"Below Avg","Poor"))))</f>
        <v>Poor</v>
      </c>
      <c r="D11" s="14" t="str">
        <f aca="false">CHOOSE(MATCH(A11,{0,60,70,80,90},1),"Bottom","Bronze","Silver","Gold","Platinum")</f>
        <v>Bottom</v>
      </c>
      <c r="E11" s="27" t="n">
        <f aca="false">IF(A11&gt;=90,0.2,IF(A11&gt;=80,0.15,IF(A11&gt;=70,0.1,0)))</f>
        <v>0</v>
      </c>
    </row>
    <row r="13" customFormat="false" ht="15" hidden="false" customHeight="true" outlineLevel="0" collapsed="false">
      <c r="A13" s="16" t="s">
        <v>243</v>
      </c>
      <c r="B13" s="16"/>
      <c r="C13" s="16"/>
      <c r="D13" s="16"/>
      <c r="E13" s="16"/>
      <c r="F13" s="16"/>
    </row>
    <row r="14" customFormat="false" ht="15" hidden="false" customHeight="true" outlineLevel="0" collapsed="false">
      <c r="A14" s="12" t="s">
        <v>244</v>
      </c>
      <c r="B14" s="12" t="s">
        <v>245</v>
      </c>
      <c r="C14" s="12" t="s">
        <v>246</v>
      </c>
      <c r="D14" s="12" t="s">
        <v>247</v>
      </c>
      <c r="E14" s="12" t="s">
        <v>248</v>
      </c>
    </row>
    <row r="15" customFormat="false" ht="15" hidden="false" customHeight="true" outlineLevel="0" collapsed="false">
      <c r="A15" s="13" t="s">
        <v>249</v>
      </c>
      <c r="B15" s="14" t="s">
        <v>250</v>
      </c>
      <c r="C15" s="14" t="str">
        <f aca="false">IFERROR(1/0,"Caught by IFERROR")</f>
        <v>Caught by IFERROR</v>
      </c>
      <c r="D15" s="14" t="s">
        <v>251</v>
      </c>
      <c r="E15" s="28" t="b">
        <f aca="false">ISERROR(1/0)</f>
        <v>1</v>
      </c>
    </row>
    <row r="16" customFormat="false" ht="15" hidden="false" customHeight="true" outlineLevel="0" collapsed="false">
      <c r="A16" s="13" t="s">
        <v>252</v>
      </c>
      <c r="B16" s="14" t="s">
        <v>253</v>
      </c>
      <c r="C16" s="14" t="str">
        <f aca="false">IFERROR(VLOOKUP("XYZ",Sales_Data!E:I,5,0),"Not Found")</f>
        <v>Not Found</v>
      </c>
      <c r="D16" s="14" t="s">
        <v>254</v>
      </c>
      <c r="E16" s="28" t="b">
        <f aca="false">ISNA(VLOOKUP("XYZ",Sales_Data!E:I,5,0))</f>
        <v>1</v>
      </c>
    </row>
    <row r="17" customFormat="false" ht="15" hidden="false" customHeight="true" outlineLevel="0" collapsed="false">
      <c r="A17" s="13" t="s">
        <v>255</v>
      </c>
      <c r="B17" s="14" t="s">
        <v>256</v>
      </c>
      <c r="C17" s="14" t="str">
        <f aca="false">IFERROR(VALUE("hello")+10,"Not a number")</f>
        <v>Not a number</v>
      </c>
      <c r="D17" s="14" t="str">
        <f aca="false">IFERROR(VALUE(A16)+10,"Invalid")</f>
        <v>Invalid</v>
      </c>
      <c r="E17" s="28" t="b">
        <f aca="false">ISERROR(VALUE("hello"))</f>
        <v>1</v>
      </c>
    </row>
    <row r="20" customFormat="false" ht="15" hidden="false" customHeight="true" outlineLevel="0" collapsed="false">
      <c r="A20" s="18" t="s">
        <v>257</v>
      </c>
      <c r="B20" s="18"/>
      <c r="C20" s="18"/>
      <c r="D20" s="18"/>
      <c r="E20" s="18"/>
      <c r="F20" s="18"/>
    </row>
    <row r="21" customFormat="false" ht="15" hidden="false" customHeight="true" outlineLevel="0" collapsed="false">
      <c r="A21" s="12" t="s">
        <v>3</v>
      </c>
      <c r="B21" s="12" t="s">
        <v>6</v>
      </c>
      <c r="C21" s="12" t="s">
        <v>9</v>
      </c>
      <c r="D21" s="12" t="s">
        <v>258</v>
      </c>
      <c r="E21" s="12" t="s">
        <v>259</v>
      </c>
      <c r="F21" s="12" t="s">
        <v>260</v>
      </c>
    </row>
    <row r="22" customFormat="false" ht="15" hidden="false" customHeight="true" outlineLevel="0" collapsed="false">
      <c r="A22" s="13" t="s">
        <v>15</v>
      </c>
      <c r="B22" s="13" t="s">
        <v>18</v>
      </c>
      <c r="C22" s="21" t="n">
        <v>15000</v>
      </c>
      <c r="D22" s="28" t="b">
        <f aca="false">AND(A22="North",C22&gt;10000)</f>
        <v>1</v>
      </c>
      <c r="E22" s="28" t="b">
        <f aca="false">OR(A22="North",C22&gt;8000)</f>
        <v>1</v>
      </c>
      <c r="F22" s="14" t="str">
        <f aca="false">IF(AND(B22="Electronics",C22&gt;5000),"High-Tech",IF(AND(B22="Furniture",C22&gt;7000),"Premium Furniture","Standard"))</f>
        <v>High-Tech</v>
      </c>
    </row>
    <row r="23" customFormat="false" ht="15" hidden="false" customHeight="true" outlineLevel="0" collapsed="false">
      <c r="A23" s="13" t="s">
        <v>21</v>
      </c>
      <c r="B23" s="13" t="s">
        <v>24</v>
      </c>
      <c r="C23" s="21" t="n">
        <v>4200</v>
      </c>
      <c r="D23" s="28" t="b">
        <f aca="false">AND(A23="North",C23&gt;10000)</f>
        <v>0</v>
      </c>
      <c r="E23" s="28" t="b">
        <f aca="false">OR(A23="North",C23&gt;8000)</f>
        <v>0</v>
      </c>
      <c r="F23" s="14" t="str">
        <f aca="false">IF(AND(B23="Electronics",C23&gt;5000),"High-Tech",IF(AND(B23="Furniture",C23&gt;7000),"Premium Furniture","Standard"))</f>
        <v>Standard</v>
      </c>
    </row>
    <row r="24" customFormat="false" ht="15" hidden="false" customHeight="true" outlineLevel="0" collapsed="false">
      <c r="A24" s="13" t="s">
        <v>27</v>
      </c>
      <c r="B24" s="13" t="s">
        <v>18</v>
      </c>
      <c r="C24" s="21" t="n">
        <v>2800</v>
      </c>
      <c r="D24" s="28" t="b">
        <f aca="false">AND(A24="North",C24&gt;10000)</f>
        <v>0</v>
      </c>
      <c r="E24" s="28" t="b">
        <f aca="false">OR(A24="North",C24&gt;8000)</f>
        <v>0</v>
      </c>
      <c r="F24" s="14" t="str">
        <f aca="false">IF(AND(B24="Electronics",C24&gt;5000),"High-Tech",IF(AND(B24="Furniture",C24&gt;7000),"Premium Furniture","Standard"))</f>
        <v>Standard</v>
      </c>
    </row>
    <row r="25" customFormat="false" ht="15" hidden="false" customHeight="true" outlineLevel="0" collapsed="false">
      <c r="A25" s="13" t="s">
        <v>31</v>
      </c>
      <c r="B25" s="13" t="s">
        <v>24</v>
      </c>
      <c r="C25" s="21" t="n">
        <v>9100</v>
      </c>
      <c r="D25" s="28" t="b">
        <f aca="false">AND(A25="North",C25&gt;10000)</f>
        <v>0</v>
      </c>
      <c r="E25" s="28" t="b">
        <f aca="false">OR(A25="North",C25&gt;8000)</f>
        <v>1</v>
      </c>
      <c r="F25" s="14" t="str">
        <f aca="false">IF(AND(B25="Electronics",C25&gt;5000),"High-Tech",IF(AND(B25="Furniture",C25&gt;7000),"Premium Furniture","Standard"))</f>
        <v>Premium Furniture</v>
      </c>
    </row>
    <row r="26" customFormat="false" ht="15" hidden="false" customHeight="true" outlineLevel="0" collapsed="false">
      <c r="A26" s="13" t="s">
        <v>15</v>
      </c>
      <c r="B26" s="13" t="s">
        <v>24</v>
      </c>
      <c r="C26" s="21" t="n">
        <v>7300</v>
      </c>
      <c r="D26" s="28" t="b">
        <f aca="false">AND(A26="North",C26&gt;10000)</f>
        <v>0</v>
      </c>
      <c r="E26" s="28" t="b">
        <f aca="false">OR(A26="North",C26&gt;8000)</f>
        <v>1</v>
      </c>
      <c r="F26" s="14" t="str">
        <f aca="false">IF(AND(B26="Electronics",C26&gt;5000),"High-Tech",IF(AND(B26="Furniture",C26&gt;7000),"Premium Furniture","Standard"))</f>
        <v>Premium Furniture</v>
      </c>
    </row>
  </sheetData>
  <mergeCells count="4">
    <mergeCell ref="A1:F1"/>
    <mergeCell ref="A3:F3"/>
    <mergeCell ref="A13:F13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6"/>
    <col collapsed="false" customWidth="true" hidden="false" outlineLevel="0" max="7" min="7" style="1" width="16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6"/>
  </cols>
  <sheetData>
    <row r="1" customFormat="false" ht="30" hidden="false" customHeight="true" outlineLevel="0" collapsed="false">
      <c r="A1" s="29" t="s">
        <v>261</v>
      </c>
      <c r="B1" s="29"/>
      <c r="C1" s="29"/>
      <c r="D1" s="29"/>
      <c r="E1" s="29"/>
      <c r="F1" s="29"/>
      <c r="G1" s="29"/>
      <c r="H1" s="29"/>
      <c r="I1" s="29"/>
      <c r="J1" s="29"/>
    </row>
    <row r="3" customFormat="false" ht="15" hidden="false" customHeight="true" outlineLevel="0" collapsed="false">
      <c r="A3" s="2" t="s">
        <v>262</v>
      </c>
      <c r="B3" s="2"/>
      <c r="C3" s="2"/>
      <c r="D3" s="2"/>
      <c r="E3" s="2"/>
      <c r="F3" s="2"/>
      <c r="G3" s="2"/>
      <c r="H3" s="2"/>
      <c r="I3" s="2"/>
      <c r="J3" s="2"/>
    </row>
    <row r="7" customFormat="false" ht="15" hidden="false" customHeight="true" outlineLevel="0" collapsed="false">
      <c r="A7" s="30" t="s">
        <v>102</v>
      </c>
      <c r="B7" s="31" t="n">
        <f aca="false">SUM(Sales_Data!I3:I34)</f>
        <v>243410</v>
      </c>
    </row>
    <row r="8" customFormat="false" ht="15" hidden="false" customHeight="true" outlineLevel="0" collapsed="false">
      <c r="A8" s="30" t="s">
        <v>263</v>
      </c>
      <c r="B8" s="31" t="n">
        <f aca="false">SUM(Sales_Data!K3:K34)</f>
        <v>110814.5</v>
      </c>
    </row>
    <row r="9" customFormat="false" ht="15" hidden="false" customHeight="true" outlineLevel="0" collapsed="false">
      <c r="A9" s="30" t="s">
        <v>264</v>
      </c>
      <c r="B9" s="32" t="n">
        <f aca="false">SUM(Sales_Data!K3:K34)/SUM(Sales_Data!I3:I34)</f>
        <v>0.455258617148022</v>
      </c>
    </row>
    <row r="10" customFormat="false" ht="15" hidden="false" customHeight="true" outlineLevel="0" collapsed="false">
      <c r="A10" s="30" t="s">
        <v>265</v>
      </c>
      <c r="B10" s="31" t="n">
        <f aca="false">AVERAGE(Sales_Data!I3:I34)</f>
        <v>7606.5625</v>
      </c>
    </row>
    <row r="11" customFormat="false" ht="15" hidden="false" customHeight="true" outlineLevel="0" collapsed="false">
      <c r="A11" s="30" t="s">
        <v>266</v>
      </c>
      <c r="B11" s="31" t="n">
        <f aca="false">COUNTA(Sales_Data!A3:A34)</f>
        <v>32</v>
      </c>
    </row>
    <row r="12" customFormat="false" ht="15" hidden="false" customHeight="true" outlineLevel="0" collapsed="false">
      <c r="A12" s="30" t="s">
        <v>267</v>
      </c>
      <c r="B12" s="31" t="str">
        <f aca="false">INDEX(Sales_Data!D3:D34,MATCH(MAX(SUMIF(Sales_Data!D3:D34,Sales_Data!D3:D34,Sales_Data!I3:I34)),SUMIF(Sales_Data!D3:D34,Sales_Data!D3:D34,Sales_Data!I3:I34),0))</f>
        <v>Alice</v>
      </c>
    </row>
    <row r="13" customFormat="false" ht="15" hidden="false" customHeight="true" outlineLevel="0" collapsed="false">
      <c r="A13" s="30" t="s">
        <v>268</v>
      </c>
      <c r="B13" s="32" t="n">
        <f aca="false">SUMIF(Sales_Data!F:F,"Electronics",Sales_Data!I:I)/SUM(Sales_Data!I3:I34)</f>
        <v>0.6871122796927</v>
      </c>
    </row>
    <row r="14" customFormat="false" ht="15" hidden="false" customHeight="true" outlineLevel="0" collapsed="false">
      <c r="A14" s="16" t="s">
        <v>269</v>
      </c>
      <c r="B14" s="16"/>
      <c r="C14" s="16"/>
      <c r="D14" s="16"/>
      <c r="F14" s="18" t="s">
        <v>270</v>
      </c>
      <c r="G14" s="18"/>
      <c r="H14" s="18"/>
      <c r="I14" s="18"/>
    </row>
    <row r="15" customFormat="false" ht="15" hidden="false" customHeight="true" outlineLevel="0" collapsed="false">
      <c r="A15" s="12" t="s">
        <v>3</v>
      </c>
      <c r="B15" s="12" t="s">
        <v>9</v>
      </c>
      <c r="C15" s="12" t="s">
        <v>271</v>
      </c>
      <c r="D15" s="12" t="s">
        <v>272</v>
      </c>
      <c r="F15" s="12" t="s">
        <v>6</v>
      </c>
      <c r="G15" s="12" t="s">
        <v>9</v>
      </c>
      <c r="H15" s="12" t="s">
        <v>271</v>
      </c>
      <c r="I15" s="12" t="s">
        <v>103</v>
      </c>
    </row>
    <row r="16" customFormat="false" ht="15" hidden="false" customHeight="true" outlineLevel="0" collapsed="false">
      <c r="A16" s="13" t="s">
        <v>15</v>
      </c>
      <c r="B16" s="15" t="n">
        <f aca="false">SUMIF(Sales_Data!C:C,A16,Sales_Data!I:I)</f>
        <v>68900</v>
      </c>
      <c r="C16" s="17" t="n">
        <f aca="false">B16/SUM(B16:B19)</f>
        <v>0.283061501170864</v>
      </c>
      <c r="D16" s="14" t="n">
        <f aca="false">COUNTIF(Sales_Data!C:C,A16)</f>
        <v>9</v>
      </c>
      <c r="F16" s="13" t="s">
        <v>18</v>
      </c>
      <c r="G16" s="15" t="n">
        <f aca="false">SUMIF(Sales_Data!F:F,F16,Sales_Data!I:I)</f>
        <v>167250</v>
      </c>
      <c r="H16" s="17" t="n">
        <f aca="false">G16/SUM(G16:G17)</f>
        <v>0.6871122796927</v>
      </c>
      <c r="I16" s="17" t="n">
        <f aca="false">AVERAGEIF(Sales_Data!F:F,F16,Sales_Data!L:L)</f>
        <v>0.45952380952381</v>
      </c>
    </row>
    <row r="17" customFormat="false" ht="15" hidden="false" customHeight="true" outlineLevel="0" collapsed="false">
      <c r="A17" s="13" t="s">
        <v>21</v>
      </c>
      <c r="B17" s="15" t="n">
        <f aca="false">SUMIF(Sales_Data!C:C,A17,Sales_Data!I:I)</f>
        <v>65500</v>
      </c>
      <c r="C17" s="17" t="n">
        <f aca="false">B17/SUM(B16:B19)</f>
        <v>0.269093299371431</v>
      </c>
      <c r="D17" s="14" t="n">
        <f aca="false">COUNTIF(Sales_Data!C:C,A17)</f>
        <v>8</v>
      </c>
      <c r="F17" s="13" t="s">
        <v>24</v>
      </c>
      <c r="G17" s="15" t="n">
        <f aca="false">SUMIF(Sales_Data!F:F,F17,Sales_Data!I:I)</f>
        <v>76160</v>
      </c>
      <c r="H17" s="17" t="n">
        <f aca="false">G17/SUM(G16:G17)</f>
        <v>0.3128877203073</v>
      </c>
      <c r="I17" s="17" t="n">
        <f aca="false">AVERAGEIF(Sales_Data!F:F,F17,Sales_Data!L:L)</f>
        <v>0.460909090909091</v>
      </c>
    </row>
    <row r="18" customFormat="false" ht="15" hidden="false" customHeight="true" outlineLevel="0" collapsed="false">
      <c r="A18" s="13" t="s">
        <v>27</v>
      </c>
      <c r="B18" s="15" t="n">
        <f aca="false">SUMIF(Sales_Data!C:C,A18,Sales_Data!I:I)</f>
        <v>53460</v>
      </c>
      <c r="C18" s="17" t="n">
        <f aca="false">B18/SUM(B16:B19)</f>
        <v>0.21962943182285</v>
      </c>
      <c r="D18" s="14" t="n">
        <f aca="false">COUNTIF(Sales_Data!C:C,A18)</f>
        <v>8</v>
      </c>
    </row>
    <row r="19" customFormat="false" ht="15" hidden="false" customHeight="true" outlineLevel="0" collapsed="false">
      <c r="A19" s="13" t="s">
        <v>31</v>
      </c>
      <c r="B19" s="15" t="n">
        <f aca="false">SUMIF(Sales_Data!C:C,A19,Sales_Data!I:I)</f>
        <v>55550</v>
      </c>
      <c r="C19" s="17" t="n">
        <f aca="false">B19/SUM(B16:B19)</f>
        <v>0.228215767634855</v>
      </c>
      <c r="D19" s="14" t="n">
        <f aca="false">COUNTIF(Sales_Data!C:C,A19)</f>
        <v>7</v>
      </c>
    </row>
    <row r="21" customFormat="false" ht="15" hidden="false" customHeight="true" outlineLevel="0" collapsed="false">
      <c r="A21" s="26" t="s">
        <v>273</v>
      </c>
      <c r="B21" s="26"/>
      <c r="C21" s="26"/>
      <c r="D21" s="26"/>
      <c r="E21" s="26"/>
      <c r="F21" s="26"/>
      <c r="G21" s="26"/>
      <c r="H21" s="26"/>
      <c r="I21" s="26"/>
      <c r="J21" s="26"/>
    </row>
    <row r="22" customFormat="false" ht="15" hidden="false" customHeight="true" outlineLevel="0" collapsed="false">
      <c r="A22" s="12" t="s">
        <v>115</v>
      </c>
      <c r="B22" s="12" t="s">
        <v>274</v>
      </c>
      <c r="C22" s="12" t="s">
        <v>275</v>
      </c>
      <c r="D22" s="12" t="s">
        <v>276</v>
      </c>
      <c r="E22" s="12" t="s">
        <v>277</v>
      </c>
      <c r="F22" s="12" t="s">
        <v>278</v>
      </c>
      <c r="G22" s="12" t="s">
        <v>279</v>
      </c>
      <c r="H22" s="12" t="s">
        <v>280</v>
      </c>
      <c r="I22" s="12" t="s">
        <v>281</v>
      </c>
      <c r="J22" s="12" t="s">
        <v>282</v>
      </c>
      <c r="K22" s="12" t="s">
        <v>283</v>
      </c>
      <c r="L22" s="12" t="s">
        <v>284</v>
      </c>
      <c r="M22" s="12" t="s">
        <v>285</v>
      </c>
    </row>
    <row r="23" customFormat="false" ht="15" hidden="false" customHeight="true" outlineLevel="0" collapsed="false">
      <c r="A23" s="13" t="s">
        <v>286</v>
      </c>
      <c r="B23" s="15" t="n">
        <f aca="false">SUMPRODUCT((MONTH(Sales_Data!B3:B34)=1)*(YEAR(Sales_Data!B3:B34)=2024)*Sales_Data!I3:I34)</f>
        <v>30350</v>
      </c>
      <c r="C23" s="15" t="n">
        <f aca="false">SUMPRODUCT((MONTH(Sales_Data!B3:B34)=2)*(YEAR(Sales_Data!B3:B34)=2024)*Sales_Data!I3:I34)</f>
        <v>15750</v>
      </c>
      <c r="D23" s="15" t="n">
        <f aca="false">SUMPRODUCT((MONTH(Sales_Data!B3:B34)=3)*(YEAR(Sales_Data!B3:B34)=2024)*Sales_Data!I3:I34)</f>
        <v>20400</v>
      </c>
      <c r="E23" s="15" t="n">
        <f aca="false">SUMPRODUCT((MONTH(Sales_Data!B3:B34)=4)*(YEAR(Sales_Data!B3:B34)=2024)*Sales_Data!I3:I34)</f>
        <v>19200</v>
      </c>
      <c r="F23" s="15" t="n">
        <f aca="false">SUMPRODUCT((MONTH(Sales_Data!B3:B34)=5)*(YEAR(Sales_Data!B3:B34)=2024)*Sales_Data!I3:I34)</f>
        <v>27400</v>
      </c>
      <c r="G23" s="15" t="n">
        <f aca="false">SUMPRODUCT((MONTH(Sales_Data!B3:B34)=6)*(YEAR(Sales_Data!B3:B34)=2024)*Sales_Data!I3:I34)</f>
        <v>10950</v>
      </c>
      <c r="H23" s="15" t="n">
        <f aca="false">SUMPRODUCT((MONTH(Sales_Data!B3:B34)=7)*(YEAR(Sales_Data!B3:B34)=2024)*Sales_Data!I3:I34)</f>
        <v>28000</v>
      </c>
      <c r="I23" s="15" t="n">
        <f aca="false">SUMPRODUCT((MONTH(Sales_Data!B3:B34)=8)*(YEAR(Sales_Data!B3:B34)=2024)*Sales_Data!I3:I34)</f>
        <v>12150</v>
      </c>
      <c r="J23" s="15" t="n">
        <f aca="false">SUMPRODUCT((MONTH(Sales_Data!B3:B34)=9)*(YEAR(Sales_Data!B3:B34)=2024)*Sales_Data!I3:I34)</f>
        <v>21900</v>
      </c>
      <c r="K23" s="15" t="n">
        <f aca="false">SUMPRODUCT((MONTH(Sales_Data!B3:B34)=10)*(YEAR(Sales_Data!B3:B34)=2024)*Sales_Data!I3:I34)</f>
        <v>14560</v>
      </c>
      <c r="L23" s="15" t="n">
        <f aca="false">SUMPRODUCT((MONTH(Sales_Data!B3:B34)=11)*(YEAR(Sales_Data!B3:B34)=2024)*Sales_Data!I3:I34)</f>
        <v>10450</v>
      </c>
      <c r="M23" s="15" t="n">
        <f aca="false">SUMPRODUCT((MONTH(Sales_Data!B3:B34)=12)*(YEAR(Sales_Data!B3:B34)=2024)*Sales_Data!I3:I34)</f>
        <v>32300</v>
      </c>
    </row>
  </sheetData>
  <mergeCells count="5">
    <mergeCell ref="A1:J1"/>
    <mergeCell ref="A3:J3"/>
    <mergeCell ref="A14:D14"/>
    <mergeCell ref="F14:I14"/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2026-02-23T23:11:03Z</dcterms:created>
  <dc:creator>openpyxl</dc:creator>
  <dc:description/>
  <dc:language>en-US</dc:language>
  <cp:lastModifiedBy/>
  <dcterms:modified xsi:type="dcterms:W3CDTF">2026-02-23T23:12:28Z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